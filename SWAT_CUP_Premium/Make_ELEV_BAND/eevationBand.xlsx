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dar_naderi_swat_data\SWAT_Gadar\GadarChai1400\"/>
    </mc:Choice>
  </mc:AlternateContent>
  <xr:revisionPtr revIDLastSave="0" documentId="8_{156C2ABA-DFAA-44E2-8056-576DDAD7CF63}" xr6:coauthVersionLast="47" xr6:coauthVersionMax="47" xr10:uidLastSave="{00000000-0000-0000-0000-000000000000}"/>
  <bookViews>
    <workbookView xWindow="-120" yWindow="-120" windowWidth="20730" windowHeight="11160" activeTab="1" xr2:uid="{28759E84-501B-4F4A-892F-A70E55BAB0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H2" i="2"/>
  <c r="F2" i="2"/>
  <c r="K2" i="2" s="1"/>
  <c r="E2" i="2"/>
  <c r="I2" i="2" l="1"/>
  <c r="J2" i="2"/>
  <c r="G2" i="2"/>
</calcChain>
</file>

<file path=xl/sharedStrings.xml><?xml version="1.0" encoding="utf-8"?>
<sst xmlns="http://schemas.openxmlformats.org/spreadsheetml/2006/main" count="127" uniqueCount="30">
  <si>
    <t>OBJECTID</t>
  </si>
  <si>
    <t>Shape</t>
  </si>
  <si>
    <t>GRIDCODE</t>
  </si>
  <si>
    <t>Subbasin</t>
  </si>
  <si>
    <t>Area</t>
  </si>
  <si>
    <t>Slo1</t>
  </si>
  <si>
    <t>Len1</t>
  </si>
  <si>
    <t>Sll</t>
  </si>
  <si>
    <t>Csl</t>
  </si>
  <si>
    <t>Wid1</t>
  </si>
  <si>
    <t>Dep1</t>
  </si>
  <si>
    <t>Lat</t>
  </si>
  <si>
    <t>Long_</t>
  </si>
  <si>
    <t>Elev</t>
  </si>
  <si>
    <t>ElevMin</t>
  </si>
  <si>
    <t>ElevMax</t>
  </si>
  <si>
    <t>Bname</t>
  </si>
  <si>
    <t>Shape_Length</t>
  </si>
  <si>
    <t>Shape_Area</t>
  </si>
  <si>
    <t>HydroID</t>
  </si>
  <si>
    <t>OutletID</t>
  </si>
  <si>
    <t>AreaKm</t>
  </si>
  <si>
    <t/>
  </si>
  <si>
    <t>diff</t>
  </si>
  <si>
    <t>mid</t>
  </si>
  <si>
    <t>E1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</si>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</sst>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2" fillId="0" borderId="0" xfId="1"/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B52CDF95-5DCE-43D1-8852-912A1A2AFF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7349-081E-4E9E-A405-811BA1313BAA}">
  <dimension ref="A1:V89"/>
  <sheetViews>
    <sheetView workbookViewId="0">
      <selection activeCell="P1" activeCellId="2" sqref="D1:E1048576 O1:O1048576 P1:P1048576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1</v>
      </c>
      <c r="B2" s="3"/>
      <c r="C2" s="2">
        <v>1</v>
      </c>
      <c r="D2" s="2">
        <v>1</v>
      </c>
      <c r="E2" s="2">
        <v>10.754812088501126</v>
      </c>
      <c r="F2" s="2">
        <v>25.168586730957031</v>
      </c>
      <c r="G2" s="2">
        <v>7881.882432307244</v>
      </c>
      <c r="H2" s="2">
        <v>15.239256324291373</v>
      </c>
      <c r="I2" s="2">
        <v>10.251358186821827</v>
      </c>
      <c r="J2" s="2">
        <v>5.3647736909578416</v>
      </c>
      <c r="K2" s="2">
        <v>0.33618976142116119</v>
      </c>
      <c r="L2" s="2">
        <v>37.113243180711017</v>
      </c>
      <c r="M2" s="2">
        <v>45.107382556170819</v>
      </c>
      <c r="N2" s="2">
        <v>1864.627153785658</v>
      </c>
      <c r="O2" s="2">
        <v>1518</v>
      </c>
      <c r="P2" s="2">
        <v>2330</v>
      </c>
      <c r="Q2" s="4" t="s">
        <v>22</v>
      </c>
      <c r="R2" s="2">
        <v>22127.992399999755</v>
      </c>
      <c r="S2" s="2">
        <v>10754812.088501126</v>
      </c>
      <c r="T2" s="2">
        <v>300001</v>
      </c>
      <c r="U2" s="2">
        <v>100002</v>
      </c>
      <c r="V2" s="3"/>
    </row>
    <row r="3" spans="1:22" x14ac:dyDescent="0.25">
      <c r="A3" s="2">
        <v>2</v>
      </c>
      <c r="B3" s="3"/>
      <c r="C3" s="2">
        <v>2</v>
      </c>
      <c r="D3" s="2">
        <v>2</v>
      </c>
      <c r="E3" s="2">
        <v>36.494236723532325</v>
      </c>
      <c r="F3" s="2">
        <v>21.776895523071289</v>
      </c>
      <c r="G3" s="2">
        <v>11116.218807650808</v>
      </c>
      <c r="H3" s="2">
        <v>15.239256324291373</v>
      </c>
      <c r="I3" s="2">
        <v>7.7634312074357048</v>
      </c>
      <c r="J3" s="2">
        <v>11.166685407611602</v>
      </c>
      <c r="K3" s="2">
        <v>0.54806625915732421</v>
      </c>
      <c r="L3" s="2">
        <v>37.127522123870605</v>
      </c>
      <c r="M3" s="2">
        <v>45.185077148750345</v>
      </c>
      <c r="N3" s="2">
        <v>1951.112679617378</v>
      </c>
      <c r="O3" s="2">
        <v>1524</v>
      </c>
      <c r="P3" s="2">
        <v>2537</v>
      </c>
      <c r="Q3" s="4" t="s">
        <v>22</v>
      </c>
      <c r="R3" s="2">
        <v>39763.836200000835</v>
      </c>
      <c r="S3" s="2">
        <v>36494236.723532327</v>
      </c>
      <c r="T3" s="2">
        <v>300002</v>
      </c>
      <c r="U3" s="2">
        <v>100001</v>
      </c>
      <c r="V3" s="3"/>
    </row>
    <row r="4" spans="1:22" x14ac:dyDescent="0.25">
      <c r="A4" s="2">
        <v>3</v>
      </c>
      <c r="B4" s="3"/>
      <c r="C4" s="2">
        <v>3</v>
      </c>
      <c r="D4" s="2">
        <v>3</v>
      </c>
      <c r="E4" s="2">
        <v>34.248236515193192</v>
      </c>
      <c r="F4" s="2">
        <v>19.893989562988281</v>
      </c>
      <c r="G4" s="2">
        <v>12458.0645173311</v>
      </c>
      <c r="H4" s="2">
        <v>18.287107589149649</v>
      </c>
      <c r="I4" s="2">
        <v>7.3125323659438246</v>
      </c>
      <c r="J4" s="2">
        <v>10.749113254723657</v>
      </c>
      <c r="K4" s="2">
        <v>0.53431656430580166</v>
      </c>
      <c r="L4" s="2">
        <v>37.086923085393963</v>
      </c>
      <c r="M4" s="2">
        <v>45.125434341020181</v>
      </c>
      <c r="N4" s="2">
        <v>1686.3289328932892</v>
      </c>
      <c r="O4" s="2">
        <v>1404</v>
      </c>
      <c r="P4" s="2">
        <v>2318</v>
      </c>
      <c r="Q4" s="4" t="s">
        <v>22</v>
      </c>
      <c r="R4" s="2">
        <v>41593.971000002231</v>
      </c>
      <c r="S4" s="2">
        <v>34248236.515193194</v>
      </c>
      <c r="T4" s="2">
        <v>300003</v>
      </c>
      <c r="U4" s="2">
        <v>100003</v>
      </c>
      <c r="V4" s="3"/>
    </row>
    <row r="5" spans="1:22" x14ac:dyDescent="0.25">
      <c r="A5" s="2">
        <v>4</v>
      </c>
      <c r="B5" s="3"/>
      <c r="C5" s="2">
        <v>4</v>
      </c>
      <c r="D5" s="2">
        <v>4</v>
      </c>
      <c r="E5" s="2">
        <v>18.823804541770119</v>
      </c>
      <c r="F5" s="2">
        <v>24.338830947875977</v>
      </c>
      <c r="G5" s="2">
        <v>9722.0395186131827</v>
      </c>
      <c r="H5" s="2">
        <v>15.239256324291373</v>
      </c>
      <c r="I5" s="2">
        <v>7.879005208047821</v>
      </c>
      <c r="J5" s="2">
        <v>7.5060966659537822</v>
      </c>
      <c r="K5" s="2">
        <v>0.42055840234156217</v>
      </c>
      <c r="L5" s="2">
        <v>37.080299218343598</v>
      </c>
      <c r="M5" s="2">
        <v>45.176140195795135</v>
      </c>
      <c r="N5" s="2">
        <v>1644.3531309995508</v>
      </c>
      <c r="O5" s="2">
        <v>1404</v>
      </c>
      <c r="P5" s="2">
        <v>2219</v>
      </c>
      <c r="Q5" s="4" t="s">
        <v>22</v>
      </c>
      <c r="R5" s="2">
        <v>27562.937199998996</v>
      </c>
      <c r="S5" s="2">
        <v>18823804.541770119</v>
      </c>
      <c r="T5" s="2">
        <v>300004</v>
      </c>
      <c r="U5" s="2">
        <v>100004</v>
      </c>
      <c r="V5" s="3"/>
    </row>
    <row r="6" spans="1:22" x14ac:dyDescent="0.25">
      <c r="A6" s="2">
        <v>5</v>
      </c>
      <c r="B6" s="3"/>
      <c r="C6" s="2">
        <v>5</v>
      </c>
      <c r="D6" s="2">
        <v>5</v>
      </c>
      <c r="E6" s="2">
        <v>38.842502728917729</v>
      </c>
      <c r="F6" s="2">
        <v>10.87741756439209</v>
      </c>
      <c r="G6" s="2">
        <v>16602.372543461519</v>
      </c>
      <c r="H6" s="2">
        <v>60.957025297165494</v>
      </c>
      <c r="I6" s="2">
        <v>5.0956572488983127</v>
      </c>
      <c r="J6" s="2">
        <v>11.592418018525157</v>
      </c>
      <c r="K6" s="2">
        <v>0.56190931842088898</v>
      </c>
      <c r="L6" s="2">
        <v>37.065371422019489</v>
      </c>
      <c r="M6" s="2">
        <v>45.357315656620813</v>
      </c>
      <c r="N6" s="2">
        <v>1485.937980045926</v>
      </c>
      <c r="O6" s="2">
        <v>1287</v>
      </c>
      <c r="P6" s="2">
        <v>2145</v>
      </c>
      <c r="Q6" s="4" t="s">
        <v>22</v>
      </c>
      <c r="R6" s="2">
        <v>46030.660799997859</v>
      </c>
      <c r="S6" s="2">
        <v>38842502.728917733</v>
      </c>
      <c r="T6" s="2">
        <v>300005</v>
      </c>
      <c r="U6" s="2">
        <v>100006</v>
      </c>
      <c r="V6" s="3"/>
    </row>
    <row r="7" spans="1:22" x14ac:dyDescent="0.25">
      <c r="A7" s="2">
        <v>6</v>
      </c>
      <c r="B7" s="3"/>
      <c r="C7" s="2">
        <v>6</v>
      </c>
      <c r="D7" s="2">
        <v>6</v>
      </c>
      <c r="E7" s="2">
        <v>21.908690885987451</v>
      </c>
      <c r="F7" s="2">
        <v>11.996682167053223</v>
      </c>
      <c r="G7" s="2">
        <v>14125.764678789481</v>
      </c>
      <c r="H7" s="2">
        <v>60.957025297165494</v>
      </c>
      <c r="I7" s="2">
        <v>3.029924465913429</v>
      </c>
      <c r="J7" s="2">
        <v>8.2216610239890784</v>
      </c>
      <c r="K7" s="2">
        <v>0.4468789762628112</v>
      </c>
      <c r="L7" s="2">
        <v>37.085311706576505</v>
      </c>
      <c r="M7" s="2">
        <v>45.388819764818869</v>
      </c>
      <c r="N7" s="2">
        <v>1509.6384024146282</v>
      </c>
      <c r="O7" s="2">
        <v>1283</v>
      </c>
      <c r="P7" s="2">
        <v>1955</v>
      </c>
      <c r="Q7" s="4" t="s">
        <v>22</v>
      </c>
      <c r="R7" s="2">
        <v>37101.822199999355</v>
      </c>
      <c r="S7" s="2">
        <v>21908690.885987449</v>
      </c>
      <c r="T7" s="2">
        <v>300006</v>
      </c>
      <c r="U7" s="2">
        <v>100005</v>
      </c>
      <c r="V7" s="3"/>
    </row>
    <row r="8" spans="1:22" x14ac:dyDescent="0.25">
      <c r="A8" s="2">
        <v>7</v>
      </c>
      <c r="B8" s="3"/>
      <c r="C8" s="2">
        <v>7</v>
      </c>
      <c r="D8" s="2">
        <v>7</v>
      </c>
      <c r="E8" s="2">
        <v>2.6442981807135695</v>
      </c>
      <c r="F8" s="2">
        <v>5.8553876876831055</v>
      </c>
      <c r="G8" s="2">
        <v>4256.5487249219168</v>
      </c>
      <c r="H8" s="2">
        <v>60.957025297165494</v>
      </c>
      <c r="I8" s="2">
        <v>0.6108235023311509</v>
      </c>
      <c r="J8" s="2">
        <v>2.3119368434080814</v>
      </c>
      <c r="K8" s="2">
        <v>0.19180835591164638</v>
      </c>
      <c r="L8" s="2">
        <v>37.045752241366863</v>
      </c>
      <c r="M8" s="2">
        <v>45.154208838041697</v>
      </c>
      <c r="N8" s="2">
        <v>1409.175923233498</v>
      </c>
      <c r="O8" s="2">
        <v>1387</v>
      </c>
      <c r="P8" s="2">
        <v>1495</v>
      </c>
      <c r="Q8" s="4" t="s">
        <v>22</v>
      </c>
      <c r="R8" s="2">
        <v>13531.905800002394</v>
      </c>
      <c r="S8" s="2">
        <v>2644298.1807135693</v>
      </c>
      <c r="T8" s="2">
        <v>300007</v>
      </c>
      <c r="U8" s="2">
        <v>100007</v>
      </c>
      <c r="V8" s="3"/>
    </row>
    <row r="9" spans="1:22" x14ac:dyDescent="0.25">
      <c r="A9" s="2">
        <v>8</v>
      </c>
      <c r="B9" s="3"/>
      <c r="C9" s="2">
        <v>8</v>
      </c>
      <c r="D9" s="2">
        <v>8</v>
      </c>
      <c r="E9" s="2">
        <v>15.815040735690181</v>
      </c>
      <c r="F9" s="2">
        <v>11.455227851867676</v>
      </c>
      <c r="G9" s="2">
        <v>11950.068888376361</v>
      </c>
      <c r="H9" s="2">
        <v>60.957025297165494</v>
      </c>
      <c r="I9" s="2">
        <v>5.9246520385222228</v>
      </c>
      <c r="J9" s="2">
        <v>6.76132635982776</v>
      </c>
      <c r="K9" s="2">
        <v>0.39225770066848326</v>
      </c>
      <c r="L9" s="2">
        <v>37.053728318247352</v>
      </c>
      <c r="M9" s="2">
        <v>45.115111705544706</v>
      </c>
      <c r="N9" s="2">
        <v>1539.6056009334889</v>
      </c>
      <c r="O9" s="2">
        <v>1387</v>
      </c>
      <c r="P9" s="2">
        <v>2094</v>
      </c>
      <c r="Q9" s="4" t="s">
        <v>22</v>
      </c>
      <c r="R9" s="2">
        <v>32110.545800001593</v>
      </c>
      <c r="S9" s="2">
        <v>15815040.73569018</v>
      </c>
      <c r="T9" s="2">
        <v>300008</v>
      </c>
      <c r="U9" s="2">
        <v>100008</v>
      </c>
      <c r="V9" s="3"/>
    </row>
    <row r="10" spans="1:22" x14ac:dyDescent="0.25">
      <c r="A10" s="2">
        <v>9</v>
      </c>
      <c r="B10" s="3"/>
      <c r="C10" s="2">
        <v>9</v>
      </c>
      <c r="D10" s="2">
        <v>9</v>
      </c>
      <c r="E10" s="2">
        <v>11.872814192929143</v>
      </c>
      <c r="F10" s="2">
        <v>7.7514724731445313</v>
      </c>
      <c r="G10" s="2">
        <v>12084.605078849638</v>
      </c>
      <c r="H10" s="2">
        <v>60.957025297165494</v>
      </c>
      <c r="I10" s="2">
        <v>0.88542405235294275</v>
      </c>
      <c r="J10" s="2">
        <v>5.6927473924677559</v>
      </c>
      <c r="K10" s="2">
        <v>0.34975571598147193</v>
      </c>
      <c r="L10" s="2">
        <v>37.033416311141082</v>
      </c>
      <c r="M10" s="2">
        <v>45.419007352940817</v>
      </c>
      <c r="N10" s="2">
        <v>1312.9983161712325</v>
      </c>
      <c r="O10" s="2">
        <v>1275</v>
      </c>
      <c r="P10" s="2">
        <v>1471</v>
      </c>
      <c r="Q10" s="4" t="s">
        <v>22</v>
      </c>
      <c r="R10" s="2">
        <v>39042.874200003454</v>
      </c>
      <c r="S10" s="2">
        <v>11872814.192929143</v>
      </c>
      <c r="T10" s="2">
        <v>300009</v>
      </c>
      <c r="U10" s="2">
        <v>100010</v>
      </c>
      <c r="V10" s="3"/>
    </row>
    <row r="11" spans="1:22" x14ac:dyDescent="0.25">
      <c r="A11" s="2">
        <v>10</v>
      </c>
      <c r="B11" s="3"/>
      <c r="C11" s="2">
        <v>10</v>
      </c>
      <c r="D11" s="2">
        <v>10</v>
      </c>
      <c r="E11" s="2">
        <v>41.709017333424413</v>
      </c>
      <c r="F11" s="2">
        <v>7.4112458229064941</v>
      </c>
      <c r="G11" s="2">
        <v>13114.53101903712</v>
      </c>
      <c r="H11" s="2">
        <v>60.957025297165494</v>
      </c>
      <c r="I11" s="2">
        <v>2.1197860571335245</v>
      </c>
      <c r="J11" s="2">
        <v>12.098392922201167</v>
      </c>
      <c r="K11" s="2">
        <v>0.57814308493649791</v>
      </c>
      <c r="L11" s="2">
        <v>37.053096602106642</v>
      </c>
      <c r="M11" s="2">
        <v>45.464470862217411</v>
      </c>
      <c r="N11" s="2">
        <v>1323.3845586608657</v>
      </c>
      <c r="O11" s="2">
        <v>1274</v>
      </c>
      <c r="P11" s="2">
        <v>1573</v>
      </c>
      <c r="Q11" s="4" t="s">
        <v>22</v>
      </c>
      <c r="R11" s="2">
        <v>38654.66480000061</v>
      </c>
      <c r="S11" s="2">
        <v>41709017.333424412</v>
      </c>
      <c r="T11" s="2">
        <v>300010</v>
      </c>
      <c r="U11" s="2">
        <v>100009</v>
      </c>
      <c r="V11" s="3"/>
    </row>
    <row r="12" spans="1:22" x14ac:dyDescent="0.25">
      <c r="A12" s="2">
        <v>11</v>
      </c>
      <c r="B12" s="3"/>
      <c r="C12" s="2">
        <v>11</v>
      </c>
      <c r="D12" s="2">
        <v>11</v>
      </c>
      <c r="E12" s="2">
        <v>10.06817104553476</v>
      </c>
      <c r="F12" s="2">
        <v>9.7111406326293945</v>
      </c>
      <c r="G12" s="2">
        <v>6550.8753617975108</v>
      </c>
      <c r="H12" s="2">
        <v>60.957025297165494</v>
      </c>
      <c r="I12" s="2">
        <v>0.47321920030384812</v>
      </c>
      <c r="J12" s="2">
        <v>5.1565598327310891</v>
      </c>
      <c r="K12" s="2">
        <v>0.32743385883334708</v>
      </c>
      <c r="L12" s="2">
        <v>37.035805446694688</v>
      </c>
      <c r="M12" s="2">
        <v>45.171731316403196</v>
      </c>
      <c r="N12" s="2">
        <v>1422.1500687337711</v>
      </c>
      <c r="O12" s="2">
        <v>1370</v>
      </c>
      <c r="P12" s="2">
        <v>1771</v>
      </c>
      <c r="Q12" s="4" t="s">
        <v>22</v>
      </c>
      <c r="R12" s="2">
        <v>25788.26239999861</v>
      </c>
      <c r="S12" s="2">
        <v>10068171.04553476</v>
      </c>
      <c r="T12" s="2">
        <v>300011</v>
      </c>
      <c r="U12" s="2">
        <v>100011</v>
      </c>
      <c r="V12" s="3"/>
    </row>
    <row r="13" spans="1:22" x14ac:dyDescent="0.25">
      <c r="A13" s="2">
        <v>12</v>
      </c>
      <c r="B13" s="3"/>
      <c r="C13" s="2">
        <v>12</v>
      </c>
      <c r="D13" s="2">
        <v>12</v>
      </c>
      <c r="E13" s="2">
        <v>23.511109425541544</v>
      </c>
      <c r="F13" s="2">
        <v>35.336837768554688</v>
      </c>
      <c r="G13" s="2">
        <v>12156.645274913793</v>
      </c>
      <c r="H13" s="2">
        <v>15.239256324291373</v>
      </c>
      <c r="I13" s="2">
        <v>7.2223872634650537</v>
      </c>
      <c r="J13" s="2">
        <v>8.5773589287020897</v>
      </c>
      <c r="K13" s="2">
        <v>0.45967681700594715</v>
      </c>
      <c r="L13" s="2">
        <v>37.072271415858353</v>
      </c>
      <c r="M13" s="2">
        <v>45.210862337748992</v>
      </c>
      <c r="N13" s="2">
        <v>1811.7591980900677</v>
      </c>
      <c r="O13" s="2">
        <v>1371</v>
      </c>
      <c r="P13" s="2">
        <v>2296</v>
      </c>
      <c r="Q13" s="4" t="s">
        <v>22</v>
      </c>
      <c r="R13" s="2">
        <v>34384.348999999813</v>
      </c>
      <c r="S13" s="2">
        <v>23511109.425541546</v>
      </c>
      <c r="T13" s="2">
        <v>300012</v>
      </c>
      <c r="U13" s="2">
        <v>100012</v>
      </c>
      <c r="V13" s="3"/>
    </row>
    <row r="14" spans="1:22" x14ac:dyDescent="0.25">
      <c r="A14" s="2">
        <v>13</v>
      </c>
      <c r="B14" s="3"/>
      <c r="C14" s="2">
        <v>13</v>
      </c>
      <c r="D14" s="2">
        <v>13</v>
      </c>
      <c r="E14" s="2">
        <v>2.6027767816539802</v>
      </c>
      <c r="F14" s="2">
        <v>7.550142765045166</v>
      </c>
      <c r="G14" s="2">
        <v>4561.7402346119243</v>
      </c>
      <c r="H14" s="2">
        <v>60.957025297165494</v>
      </c>
      <c r="I14" s="2">
        <v>6.5325946825937882</v>
      </c>
      <c r="J14" s="2">
        <v>2.2900863842099577</v>
      </c>
      <c r="K14" s="2">
        <v>0.19059790464365078</v>
      </c>
      <c r="L14" s="2">
        <v>37.036424019147113</v>
      </c>
      <c r="M14" s="2">
        <v>45.097634886790381</v>
      </c>
      <c r="N14" s="2">
        <v>1457.9577548005909</v>
      </c>
      <c r="O14" s="2">
        <v>1410</v>
      </c>
      <c r="P14" s="2">
        <v>1710</v>
      </c>
      <c r="Q14" s="4" t="s">
        <v>22</v>
      </c>
      <c r="R14" s="2">
        <v>13365.52959999966</v>
      </c>
      <c r="S14" s="2">
        <v>2602776.7816539803</v>
      </c>
      <c r="T14" s="2">
        <v>300013</v>
      </c>
      <c r="U14" s="2">
        <v>100013</v>
      </c>
      <c r="V14" s="3"/>
    </row>
    <row r="15" spans="1:22" x14ac:dyDescent="0.25">
      <c r="A15" s="2">
        <v>14</v>
      </c>
      <c r="B15" s="3"/>
      <c r="C15" s="2">
        <v>14</v>
      </c>
      <c r="D15" s="2">
        <v>14</v>
      </c>
      <c r="E15" s="2">
        <v>0.64665741105884411</v>
      </c>
      <c r="F15" s="2">
        <v>6.9163122177124023</v>
      </c>
      <c r="G15" s="2">
        <v>2573.2523261617262</v>
      </c>
      <c r="H15" s="2">
        <v>60.957025297165494</v>
      </c>
      <c r="I15" s="2">
        <v>7.7722653921903112E-2</v>
      </c>
      <c r="J15" s="2">
        <v>0.99310293595737464</v>
      </c>
      <c r="K15" s="2">
        <v>0.10919759061030784</v>
      </c>
      <c r="L15" s="2">
        <v>37.02263141716913</v>
      </c>
      <c r="M15" s="2">
        <v>45.499261277128149</v>
      </c>
      <c r="N15" s="2">
        <v>1289.7919143876338</v>
      </c>
      <c r="O15" s="2">
        <v>1270</v>
      </c>
      <c r="P15" s="2">
        <v>1325</v>
      </c>
      <c r="Q15" s="4" t="s">
        <v>22</v>
      </c>
      <c r="R15" s="2">
        <v>7597.8319999999367</v>
      </c>
      <c r="S15" s="2">
        <v>646657.41105884407</v>
      </c>
      <c r="T15" s="2">
        <v>300014</v>
      </c>
      <c r="U15" s="2">
        <v>100015</v>
      </c>
      <c r="V15" s="3"/>
    </row>
    <row r="16" spans="1:22" x14ac:dyDescent="0.25">
      <c r="A16" s="2">
        <v>15</v>
      </c>
      <c r="B16" s="3"/>
      <c r="C16" s="2">
        <v>15</v>
      </c>
      <c r="D16" s="2">
        <v>15</v>
      </c>
      <c r="E16" s="2">
        <v>14.95001141577157</v>
      </c>
      <c r="F16" s="2">
        <v>16.996984481811523</v>
      </c>
      <c r="G16" s="2">
        <v>11216.804592493214</v>
      </c>
      <c r="H16" s="2">
        <v>18.287107589149649</v>
      </c>
      <c r="I16" s="2">
        <v>11.741311789289751</v>
      </c>
      <c r="J16" s="2">
        <v>6.5369418981136826</v>
      </c>
      <c r="K16" s="2">
        <v>0.38353054891743082</v>
      </c>
      <c r="L16" s="2">
        <v>37.033609022489422</v>
      </c>
      <c r="M16" s="2">
        <v>45.066357555278643</v>
      </c>
      <c r="N16" s="2">
        <v>1670.7262768091343</v>
      </c>
      <c r="O16" s="2">
        <v>1411</v>
      </c>
      <c r="P16" s="2">
        <v>2728</v>
      </c>
      <c r="Q16" s="4" t="s">
        <v>22</v>
      </c>
      <c r="R16" s="2">
        <v>26065.555599997751</v>
      </c>
      <c r="S16" s="2">
        <v>14950011.41577157</v>
      </c>
      <c r="T16" s="2">
        <v>300015</v>
      </c>
      <c r="U16" s="2">
        <v>100014</v>
      </c>
      <c r="V16" s="3"/>
    </row>
    <row r="17" spans="1:22" x14ac:dyDescent="0.25">
      <c r="A17" s="2">
        <v>16</v>
      </c>
      <c r="B17" s="3"/>
      <c r="C17" s="2">
        <v>16</v>
      </c>
      <c r="D17" s="2">
        <v>16</v>
      </c>
      <c r="E17" s="2">
        <v>0.17069913894043642</v>
      </c>
      <c r="F17" s="2">
        <v>4.3586826324462891</v>
      </c>
      <c r="G17" s="2">
        <v>661.73126794912127</v>
      </c>
      <c r="H17" s="2">
        <v>91.435537945748237</v>
      </c>
      <c r="I17" s="2">
        <v>0.75559373452252165</v>
      </c>
      <c r="J17" s="2">
        <v>0.44661006730884939</v>
      </c>
      <c r="K17" s="2">
        <v>6.409673156900636E-2</v>
      </c>
      <c r="L17" s="2">
        <v>37.018125346649931</v>
      </c>
      <c r="M17" s="2">
        <v>45.504062046830164</v>
      </c>
      <c r="N17" s="2">
        <v>1286.3108108108108</v>
      </c>
      <c r="O17" s="2">
        <v>1280</v>
      </c>
      <c r="P17" s="2">
        <v>1291</v>
      </c>
      <c r="Q17" s="4" t="s">
        <v>22</v>
      </c>
      <c r="R17" s="2">
        <v>2384.721000000136</v>
      </c>
      <c r="S17" s="2">
        <v>170699.13894043642</v>
      </c>
      <c r="T17" s="2">
        <v>300016</v>
      </c>
      <c r="U17" s="2">
        <v>100016</v>
      </c>
      <c r="V17" s="3"/>
    </row>
    <row r="18" spans="1:22" x14ac:dyDescent="0.25">
      <c r="A18" s="2">
        <v>17</v>
      </c>
      <c r="B18" s="3"/>
      <c r="C18" s="2">
        <v>17</v>
      </c>
      <c r="D18" s="2">
        <v>17</v>
      </c>
      <c r="E18" s="2">
        <v>14.460981609864669</v>
      </c>
      <c r="F18" s="2">
        <v>4.5835013389587402</v>
      </c>
      <c r="G18" s="2">
        <v>12646.088674073506</v>
      </c>
      <c r="H18" s="2">
        <v>91.435537945748237</v>
      </c>
      <c r="I18" s="2">
        <v>0.51399291650753909</v>
      </c>
      <c r="J18" s="2">
        <v>6.4077915380993282</v>
      </c>
      <c r="K18" s="2">
        <v>0.37846215838251779</v>
      </c>
      <c r="L18" s="2">
        <v>36.998114981635688</v>
      </c>
      <c r="M18" s="2">
        <v>45.480875301758175</v>
      </c>
      <c r="N18" s="2">
        <v>1289.9940979422556</v>
      </c>
      <c r="O18" s="2">
        <v>1273</v>
      </c>
      <c r="P18" s="2">
        <v>1352</v>
      </c>
      <c r="Q18" s="4" t="s">
        <v>22</v>
      </c>
      <c r="R18" s="2">
        <v>32332.380199996987</v>
      </c>
      <c r="S18" s="2">
        <v>14460981.609864669</v>
      </c>
      <c r="T18" s="2">
        <v>300017</v>
      </c>
      <c r="U18" s="2">
        <v>100018</v>
      </c>
      <c r="V18" s="3"/>
    </row>
    <row r="19" spans="1:22" x14ac:dyDescent="0.25">
      <c r="A19" s="2">
        <v>18</v>
      </c>
      <c r="B19" s="3"/>
      <c r="C19" s="2">
        <v>18</v>
      </c>
      <c r="D19" s="2">
        <v>18</v>
      </c>
      <c r="E19" s="2">
        <v>0.13686683352605983</v>
      </c>
      <c r="F19" s="2">
        <v>2.4742634296417236</v>
      </c>
      <c r="G19" s="2">
        <v>673.21712587074944</v>
      </c>
      <c r="H19" s="2">
        <v>91.435537945748237</v>
      </c>
      <c r="I19" s="2">
        <v>0.1</v>
      </c>
      <c r="J19" s="2">
        <v>0.3911727940964132</v>
      </c>
      <c r="K19" s="2">
        <v>5.8676289171232771E-2</v>
      </c>
      <c r="L19" s="2">
        <v>37.019907832966837</v>
      </c>
      <c r="M19" s="2">
        <v>45.107000759919856</v>
      </c>
      <c r="N19" s="2">
        <v>1413.5056179775281</v>
      </c>
      <c r="O19" s="2">
        <v>1411</v>
      </c>
      <c r="P19" s="2">
        <v>1417</v>
      </c>
      <c r="Q19" s="4" t="s">
        <v>22</v>
      </c>
      <c r="R19" s="2">
        <v>2162.8865999998525</v>
      </c>
      <c r="S19" s="2">
        <v>136866.83352605984</v>
      </c>
      <c r="T19" s="2">
        <v>300018</v>
      </c>
      <c r="U19" s="2">
        <v>100019</v>
      </c>
      <c r="V19" s="3"/>
    </row>
    <row r="20" spans="1:22" x14ac:dyDescent="0.25">
      <c r="A20" s="2">
        <v>19</v>
      </c>
      <c r="B20" s="3"/>
      <c r="C20" s="2">
        <v>19</v>
      </c>
      <c r="D20" s="2">
        <v>19</v>
      </c>
      <c r="E20" s="2">
        <v>10.460317677551735</v>
      </c>
      <c r="F20" s="2">
        <v>14.824851989746094</v>
      </c>
      <c r="G20" s="2">
        <v>12614.756148849294</v>
      </c>
      <c r="H20" s="2">
        <v>24.3828101188662</v>
      </c>
      <c r="I20" s="2">
        <v>10.852369905896904</v>
      </c>
      <c r="J20" s="2">
        <v>5.2761439357045941</v>
      </c>
      <c r="K20" s="2">
        <v>0.33247676634719497</v>
      </c>
      <c r="L20" s="2">
        <v>37.020982890777795</v>
      </c>
      <c r="M20" s="2">
        <v>45.057458155169776</v>
      </c>
      <c r="N20" s="2">
        <v>1666.8813584239929</v>
      </c>
      <c r="O20" s="2">
        <v>1412</v>
      </c>
      <c r="P20" s="2">
        <v>2789</v>
      </c>
      <c r="Q20" s="4" t="s">
        <v>22</v>
      </c>
      <c r="R20" s="2">
        <v>30557.704599995282</v>
      </c>
      <c r="S20" s="2">
        <v>10460317.677551735</v>
      </c>
      <c r="T20" s="2">
        <v>300019</v>
      </c>
      <c r="U20" s="2">
        <v>100020</v>
      </c>
      <c r="V20" s="3"/>
    </row>
    <row r="21" spans="1:22" x14ac:dyDescent="0.25">
      <c r="A21" s="2">
        <v>20</v>
      </c>
      <c r="B21" s="3"/>
      <c r="C21" s="2">
        <v>20</v>
      </c>
      <c r="D21" s="2">
        <v>20</v>
      </c>
      <c r="E21" s="2">
        <v>4.7672721309481787</v>
      </c>
      <c r="F21" s="2">
        <v>5.0785622596740723</v>
      </c>
      <c r="G21" s="2">
        <v>5527.5086253837644</v>
      </c>
      <c r="H21" s="2">
        <v>60.957025297165494</v>
      </c>
      <c r="I21" s="2">
        <v>0.21709599773201371</v>
      </c>
      <c r="J21" s="2">
        <v>3.2926963058353462</v>
      </c>
      <c r="K21" s="2">
        <v>0.24280148003421356</v>
      </c>
      <c r="L21" s="2">
        <v>37.018801465292619</v>
      </c>
      <c r="M21" s="2">
        <v>45.514884938635234</v>
      </c>
      <c r="N21" s="2">
        <v>1286.987258064516</v>
      </c>
      <c r="O21" s="2">
        <v>1275</v>
      </c>
      <c r="P21" s="2">
        <v>1331</v>
      </c>
      <c r="Q21" s="4" t="s">
        <v>22</v>
      </c>
      <c r="R21" s="2">
        <v>20186.940600000788</v>
      </c>
      <c r="S21" s="2">
        <v>4767272.1309481785</v>
      </c>
      <c r="T21" s="2">
        <v>300020</v>
      </c>
      <c r="U21" s="2">
        <v>100021</v>
      </c>
      <c r="V21" s="3"/>
    </row>
    <row r="22" spans="1:22" x14ac:dyDescent="0.25">
      <c r="A22" s="2">
        <v>21</v>
      </c>
      <c r="B22" s="3"/>
      <c r="C22" s="2">
        <v>21</v>
      </c>
      <c r="D22" s="2">
        <v>21</v>
      </c>
      <c r="E22" s="2">
        <v>21.332773692158579</v>
      </c>
      <c r="F22" s="2">
        <v>10.713606834411621</v>
      </c>
      <c r="G22" s="2">
        <v>8919.3529070606437</v>
      </c>
      <c r="H22" s="2">
        <v>60.957025297165494</v>
      </c>
      <c r="I22" s="2">
        <v>3.9128399070713784</v>
      </c>
      <c r="J22" s="2">
        <v>8.0912963160369866</v>
      </c>
      <c r="K22" s="2">
        <v>0.4421425206099992</v>
      </c>
      <c r="L22" s="2">
        <v>37.041691755595231</v>
      </c>
      <c r="M22" s="2">
        <v>45.5376401235917</v>
      </c>
      <c r="N22" s="2">
        <v>1333.4486735870819</v>
      </c>
      <c r="O22" s="2">
        <v>1271</v>
      </c>
      <c r="P22" s="2">
        <v>1649</v>
      </c>
      <c r="Q22" s="4" t="s">
        <v>22</v>
      </c>
      <c r="R22" s="2">
        <v>32221.462800001027</v>
      </c>
      <c r="S22" s="2">
        <v>21332773.69215858</v>
      </c>
      <c r="T22" s="2">
        <v>300021</v>
      </c>
      <c r="U22" s="2">
        <v>100022</v>
      </c>
      <c r="V22" s="3"/>
    </row>
    <row r="23" spans="1:22" x14ac:dyDescent="0.25">
      <c r="A23" s="2">
        <v>22</v>
      </c>
      <c r="B23" s="3"/>
      <c r="C23" s="2">
        <v>22</v>
      </c>
      <c r="D23" s="2">
        <v>22</v>
      </c>
      <c r="E23" s="2">
        <v>1.5485945124659859</v>
      </c>
      <c r="F23" s="2">
        <v>2.8508284091949463</v>
      </c>
      <c r="G23" s="2">
        <v>2969.3453683898783</v>
      </c>
      <c r="H23" s="2">
        <v>91.435537945748237</v>
      </c>
      <c r="I23" s="2">
        <v>0.70722659019577805</v>
      </c>
      <c r="J23" s="2">
        <v>1.6770744396303623</v>
      </c>
      <c r="K23" s="2">
        <v>0.15485257756226087</v>
      </c>
      <c r="L23" s="2">
        <v>37.009993412213255</v>
      </c>
      <c r="M23" s="2">
        <v>45.103071506147728</v>
      </c>
      <c r="N23" s="2">
        <v>1421.3093346573983</v>
      </c>
      <c r="O23" s="2">
        <v>1409</v>
      </c>
      <c r="P23" s="2">
        <v>1437</v>
      </c>
      <c r="Q23" s="4" t="s">
        <v>22</v>
      </c>
      <c r="R23" s="2">
        <v>7875.1252000000095</v>
      </c>
      <c r="S23" s="2">
        <v>1548594.512465986</v>
      </c>
      <c r="T23" s="2">
        <v>300022</v>
      </c>
      <c r="U23" s="2">
        <v>100023</v>
      </c>
      <c r="V23" s="3"/>
    </row>
    <row r="24" spans="1:22" x14ac:dyDescent="0.25">
      <c r="A24" s="2">
        <v>23</v>
      </c>
      <c r="B24" s="3"/>
      <c r="C24" s="2">
        <v>23</v>
      </c>
      <c r="D24" s="2">
        <v>23</v>
      </c>
      <c r="E24" s="2">
        <v>35.874491410591702</v>
      </c>
      <c r="F24" s="2">
        <v>16.761398315429688</v>
      </c>
      <c r="G24" s="2">
        <v>16038.609179914798</v>
      </c>
      <c r="H24" s="2">
        <v>18.287107589149649</v>
      </c>
      <c r="I24" s="2">
        <v>5.6426339082651529</v>
      </c>
      <c r="J24" s="2">
        <v>11.052516247385324</v>
      </c>
      <c r="K24" s="2">
        <v>0.54432421313829416</v>
      </c>
      <c r="L24" s="2">
        <v>37.046771144993727</v>
      </c>
      <c r="M24" s="2">
        <v>45.267927282224363</v>
      </c>
      <c r="N24" s="2">
        <v>1528.4680641289438</v>
      </c>
      <c r="O24" s="2">
        <v>1316</v>
      </c>
      <c r="P24" s="2">
        <v>2295</v>
      </c>
      <c r="Q24" s="4" t="s">
        <v>22</v>
      </c>
      <c r="R24" s="2">
        <v>43479.565200000885</v>
      </c>
      <c r="S24" s="2">
        <v>35874491.410591699</v>
      </c>
      <c r="T24" s="2">
        <v>300023</v>
      </c>
      <c r="U24" s="2">
        <v>100025</v>
      </c>
      <c r="V24" s="3"/>
    </row>
    <row r="25" spans="1:22" x14ac:dyDescent="0.25">
      <c r="A25" s="2">
        <v>24</v>
      </c>
      <c r="B25" s="3"/>
      <c r="C25" s="2">
        <v>24</v>
      </c>
      <c r="D25" s="2">
        <v>24</v>
      </c>
      <c r="E25" s="2">
        <v>6.0106074020911224</v>
      </c>
      <c r="F25" s="2">
        <v>15.499338150024414</v>
      </c>
      <c r="G25" s="2">
        <v>7616.075150534125</v>
      </c>
      <c r="H25" s="2">
        <v>24.3828101188662</v>
      </c>
      <c r="I25" s="2">
        <v>4.6480633791431742</v>
      </c>
      <c r="J25" s="2">
        <v>3.7839093833365194</v>
      </c>
      <c r="K25" s="2">
        <v>0.26638557090441745</v>
      </c>
      <c r="L25" s="2">
        <v>36.97735177623715</v>
      </c>
      <c r="M25" s="2">
        <v>45.099076656438676</v>
      </c>
      <c r="N25" s="2">
        <v>1590.3144428809005</v>
      </c>
      <c r="O25" s="2">
        <v>1415</v>
      </c>
      <c r="P25" s="2">
        <v>1795</v>
      </c>
      <c r="Q25" s="4" t="s">
        <v>22</v>
      </c>
      <c r="R25" s="2">
        <v>24401.796399998944</v>
      </c>
      <c r="S25" s="2">
        <v>6010607.4020911222</v>
      </c>
      <c r="T25" s="2">
        <v>300024</v>
      </c>
      <c r="U25" s="2">
        <v>100024</v>
      </c>
      <c r="V25" s="3"/>
    </row>
    <row r="26" spans="1:22" x14ac:dyDescent="0.25">
      <c r="A26" s="2">
        <v>25</v>
      </c>
      <c r="B26" s="3"/>
      <c r="C26" s="2">
        <v>25</v>
      </c>
      <c r="D26" s="2">
        <v>25</v>
      </c>
      <c r="E26" s="2">
        <v>30.874237997746665</v>
      </c>
      <c r="F26" s="2">
        <v>6.4055600166320801</v>
      </c>
      <c r="G26" s="2">
        <v>13332.762319536298</v>
      </c>
      <c r="H26" s="2">
        <v>60.957025297165494</v>
      </c>
      <c r="I26" s="2">
        <v>0.63002698155742309</v>
      </c>
      <c r="J26" s="2">
        <v>10.100606656251411</v>
      </c>
      <c r="K26" s="2">
        <v>0.51260383543572785</v>
      </c>
      <c r="L26" s="2">
        <v>37.003679416662457</v>
      </c>
      <c r="M26" s="2">
        <v>45.43705485222177</v>
      </c>
      <c r="N26" s="2">
        <v>1297.267999900381</v>
      </c>
      <c r="O26" s="2">
        <v>1267</v>
      </c>
      <c r="P26" s="2">
        <v>1445</v>
      </c>
      <c r="Q26" s="4" t="s">
        <v>22</v>
      </c>
      <c r="R26" s="2">
        <v>39597.461200003512</v>
      </c>
      <c r="S26" s="2">
        <v>30874237.997746665</v>
      </c>
      <c r="T26" s="2">
        <v>300025</v>
      </c>
      <c r="U26" s="2">
        <v>100017</v>
      </c>
      <c r="V26" s="3"/>
    </row>
    <row r="27" spans="1:22" x14ac:dyDescent="0.25">
      <c r="A27" s="2">
        <v>26</v>
      </c>
      <c r="B27" s="3"/>
      <c r="C27" s="2">
        <v>26</v>
      </c>
      <c r="D27" s="2">
        <v>26</v>
      </c>
      <c r="E27" s="2">
        <v>1.5555147946309658</v>
      </c>
      <c r="F27" s="2">
        <v>5.0961422920227051</v>
      </c>
      <c r="G27" s="2">
        <v>3329.01017519774</v>
      </c>
      <c r="H27" s="2">
        <v>60.957025297165494</v>
      </c>
      <c r="I27" s="2">
        <v>0.48062334321491273</v>
      </c>
      <c r="J27" s="2">
        <v>1.6815670852278168</v>
      </c>
      <c r="K27" s="2">
        <v>0.15512900636032129</v>
      </c>
      <c r="L27" s="2">
        <v>37.004091522691041</v>
      </c>
      <c r="M27" s="2">
        <v>45.304784061122241</v>
      </c>
      <c r="N27" s="2">
        <v>1325.0217498764212</v>
      </c>
      <c r="O27" s="2">
        <v>1317</v>
      </c>
      <c r="P27" s="2">
        <v>1339</v>
      </c>
      <c r="Q27" s="4" t="s">
        <v>22</v>
      </c>
      <c r="R27" s="2">
        <v>9982.5532000001986</v>
      </c>
      <c r="S27" s="2">
        <v>1555514.7946309657</v>
      </c>
      <c r="T27" s="2">
        <v>300026</v>
      </c>
      <c r="U27" s="2">
        <v>100029</v>
      </c>
      <c r="V27" s="3"/>
    </row>
    <row r="28" spans="1:22" x14ac:dyDescent="0.25">
      <c r="A28" s="2">
        <v>27</v>
      </c>
      <c r="B28" s="3"/>
      <c r="C28" s="2">
        <v>27</v>
      </c>
      <c r="D28" s="2">
        <v>27</v>
      </c>
      <c r="E28" s="2">
        <v>63.576955770479316</v>
      </c>
      <c r="F28" s="2">
        <v>17.884540557861328</v>
      </c>
      <c r="G28" s="2">
        <v>21499.820538192136</v>
      </c>
      <c r="H28" s="2">
        <v>18.287107589149649</v>
      </c>
      <c r="I28" s="2">
        <v>4.4558511467489472</v>
      </c>
      <c r="J28" s="2">
        <v>15.580075132430816</v>
      </c>
      <c r="K28" s="2">
        <v>0.68432632012897798</v>
      </c>
      <c r="L28" s="2">
        <v>37.083861825524238</v>
      </c>
      <c r="M28" s="2">
        <v>45.29408759264912</v>
      </c>
      <c r="N28" s="2">
        <v>1643.1481423249963</v>
      </c>
      <c r="O28" s="2">
        <v>1310</v>
      </c>
      <c r="P28" s="2">
        <v>2369</v>
      </c>
      <c r="Q28" s="4" t="s">
        <v>22</v>
      </c>
      <c r="R28" s="2">
        <v>64997.513800003217</v>
      </c>
      <c r="S28" s="2">
        <v>63576955.770479314</v>
      </c>
      <c r="T28" s="2">
        <v>300027</v>
      </c>
      <c r="U28" s="2">
        <v>100031</v>
      </c>
      <c r="V28" s="3"/>
    </row>
    <row r="29" spans="1:22" x14ac:dyDescent="0.25">
      <c r="A29" s="2">
        <v>28</v>
      </c>
      <c r="B29" s="3"/>
      <c r="C29" s="2">
        <v>28</v>
      </c>
      <c r="D29" s="2">
        <v>28</v>
      </c>
      <c r="E29" s="2">
        <v>12.134245376144156</v>
      </c>
      <c r="F29" s="2">
        <v>10.041117668151855</v>
      </c>
      <c r="G29" s="2">
        <v>9568.9510983469663</v>
      </c>
      <c r="H29" s="2">
        <v>60.957025297165494</v>
      </c>
      <c r="I29" s="2">
        <v>2.3722558268608371</v>
      </c>
      <c r="J29" s="2">
        <v>5.7676297599186004</v>
      </c>
      <c r="K29" s="2">
        <v>0.35281615399808436</v>
      </c>
      <c r="L29" s="2">
        <v>37.026475550803035</v>
      </c>
      <c r="M29" s="2">
        <v>45.336744240401032</v>
      </c>
      <c r="N29" s="2">
        <v>1398.9639439832711</v>
      </c>
      <c r="O29" s="2">
        <v>1309</v>
      </c>
      <c r="P29" s="2">
        <v>1538</v>
      </c>
      <c r="Q29" s="4" t="s">
        <v>22</v>
      </c>
      <c r="R29" s="2">
        <v>26620.141399998451</v>
      </c>
      <c r="S29" s="2">
        <v>12134245.376144156</v>
      </c>
      <c r="T29" s="2">
        <v>300028</v>
      </c>
      <c r="U29" s="2">
        <v>100032</v>
      </c>
      <c r="V29" s="3"/>
    </row>
    <row r="30" spans="1:22" x14ac:dyDescent="0.25">
      <c r="A30" s="2">
        <v>29</v>
      </c>
      <c r="B30" s="3"/>
      <c r="C30" s="2">
        <v>29</v>
      </c>
      <c r="D30" s="2">
        <v>29</v>
      </c>
      <c r="E30" s="2">
        <v>1.9991799315907801E-2</v>
      </c>
      <c r="F30" s="2">
        <v>3.5470831394195557</v>
      </c>
      <c r="G30" s="2">
        <v>233.32036967112126</v>
      </c>
      <c r="H30" s="2">
        <v>91.435537945748237</v>
      </c>
      <c r="I30" s="2">
        <v>1.2857857221076221</v>
      </c>
      <c r="J30" s="2">
        <v>0.12333911856130299</v>
      </c>
      <c r="K30" s="2">
        <v>2.7182168839737487E-2</v>
      </c>
      <c r="L30" s="2">
        <v>36.995352032244476</v>
      </c>
      <c r="M30" s="2">
        <v>45.326512958567882</v>
      </c>
      <c r="N30" s="2">
        <v>1316</v>
      </c>
      <c r="O30" s="2">
        <v>1312</v>
      </c>
      <c r="P30" s="2">
        <v>1319</v>
      </c>
      <c r="Q30" s="4" t="s">
        <v>22</v>
      </c>
      <c r="R30" s="2">
        <v>887.33800000068732</v>
      </c>
      <c r="S30" s="2">
        <v>19991.7993159078</v>
      </c>
      <c r="T30" s="2">
        <v>300029</v>
      </c>
      <c r="U30" s="2">
        <v>100033</v>
      </c>
      <c r="V30" s="3"/>
    </row>
    <row r="31" spans="1:22" x14ac:dyDescent="0.25">
      <c r="A31" s="2">
        <v>30</v>
      </c>
      <c r="B31" s="3"/>
      <c r="C31" s="2">
        <v>30</v>
      </c>
      <c r="D31" s="2">
        <v>30</v>
      </c>
      <c r="E31" s="2">
        <v>10.64178153040319</v>
      </c>
      <c r="F31" s="2">
        <v>9.8551769256591797</v>
      </c>
      <c r="G31" s="2">
        <v>10035.591837686938</v>
      </c>
      <c r="H31" s="2">
        <v>60.957025297165494</v>
      </c>
      <c r="I31" s="2">
        <v>3.9459556188095468</v>
      </c>
      <c r="J31" s="2">
        <v>5.3308727223602688</v>
      </c>
      <c r="K31" s="2">
        <v>0.33477196991836322</v>
      </c>
      <c r="L31" s="2">
        <v>36.966797167638504</v>
      </c>
      <c r="M31" s="2">
        <v>45.304304671396551</v>
      </c>
      <c r="N31" s="2">
        <v>1374.3960982658959</v>
      </c>
      <c r="O31" s="2">
        <v>1307</v>
      </c>
      <c r="P31" s="2">
        <v>1714</v>
      </c>
      <c r="Q31" s="4" t="s">
        <v>22</v>
      </c>
      <c r="R31" s="2">
        <v>29947.658599999966</v>
      </c>
      <c r="S31" s="2">
        <v>10641781.530403189</v>
      </c>
      <c r="T31" s="2">
        <v>300030</v>
      </c>
      <c r="U31" s="2">
        <v>100034</v>
      </c>
      <c r="V31" s="3"/>
    </row>
    <row r="32" spans="1:22" x14ac:dyDescent="0.25">
      <c r="A32" s="2">
        <v>31</v>
      </c>
      <c r="B32" s="3"/>
      <c r="C32" s="2">
        <v>31</v>
      </c>
      <c r="D32" s="2">
        <v>31</v>
      </c>
      <c r="E32" s="2">
        <v>10.245021524832316</v>
      </c>
      <c r="F32" s="2">
        <v>31.93543815612793</v>
      </c>
      <c r="G32" s="2">
        <v>11102.931344132408</v>
      </c>
      <c r="H32" s="2">
        <v>15.239256324291373</v>
      </c>
      <c r="I32" s="2">
        <v>13.410872803306088</v>
      </c>
      <c r="J32" s="2">
        <v>5.210716383748121</v>
      </c>
      <c r="K32" s="2">
        <v>0.3297224379881793</v>
      </c>
      <c r="L32" s="2">
        <v>37.033079353980547</v>
      </c>
      <c r="M32" s="2">
        <v>45.015640510750977</v>
      </c>
      <c r="N32" s="2">
        <v>2214.6143050135092</v>
      </c>
      <c r="O32" s="2">
        <v>1466</v>
      </c>
      <c r="P32" s="2">
        <v>3007</v>
      </c>
      <c r="Q32" s="4" t="s">
        <v>22</v>
      </c>
      <c r="R32" s="2">
        <v>29781.282799998415</v>
      </c>
      <c r="S32" s="2">
        <v>10245021.524832316</v>
      </c>
      <c r="T32" s="2">
        <v>300031</v>
      </c>
      <c r="U32" s="2">
        <v>100035</v>
      </c>
      <c r="V32" s="3"/>
    </row>
    <row r="33" spans="1:22" x14ac:dyDescent="0.25">
      <c r="A33" s="2">
        <v>32</v>
      </c>
      <c r="B33" s="3"/>
      <c r="C33" s="2">
        <v>32</v>
      </c>
      <c r="D33" s="2">
        <v>32</v>
      </c>
      <c r="E33" s="2">
        <v>13.220722017218693</v>
      </c>
      <c r="F33" s="2">
        <v>8.7811155319213867</v>
      </c>
      <c r="G33" s="2">
        <v>9843.1191894839631</v>
      </c>
      <c r="H33" s="2">
        <v>60.957025297165494</v>
      </c>
      <c r="I33" s="2">
        <v>3.7996085671660693</v>
      </c>
      <c r="J33" s="2">
        <v>6.0721545182968617</v>
      </c>
      <c r="K33" s="2">
        <v>0.3651282383554097</v>
      </c>
      <c r="L33" s="2">
        <v>36.992967357244602</v>
      </c>
      <c r="M33" s="2">
        <v>45.054014168273291</v>
      </c>
      <c r="N33" s="2">
        <v>1517.6938466907061</v>
      </c>
      <c r="O33" s="2">
        <v>1425</v>
      </c>
      <c r="P33" s="2">
        <v>1799</v>
      </c>
      <c r="Q33" s="4" t="s">
        <v>22</v>
      </c>
      <c r="R33" s="2">
        <v>31777.793799997657</v>
      </c>
      <c r="S33" s="2">
        <v>13220722.017218692</v>
      </c>
      <c r="T33" s="2">
        <v>300032</v>
      </c>
      <c r="U33" s="2">
        <v>100027</v>
      </c>
      <c r="V33" s="3"/>
    </row>
    <row r="34" spans="1:22" x14ac:dyDescent="0.25">
      <c r="A34" s="2">
        <v>33</v>
      </c>
      <c r="B34" s="3"/>
      <c r="C34" s="2">
        <v>33</v>
      </c>
      <c r="D34" s="2">
        <v>33</v>
      </c>
      <c r="E34" s="2">
        <v>11.85051563751256</v>
      </c>
      <c r="F34" s="2">
        <v>26.02617073059082</v>
      </c>
      <c r="G34" s="2">
        <v>10722.096427105296</v>
      </c>
      <c r="H34" s="2">
        <v>15.239256324291373</v>
      </c>
      <c r="I34" s="2">
        <v>12.581494758709209</v>
      </c>
      <c r="J34" s="2">
        <v>5.6863299872254531</v>
      </c>
      <c r="K34" s="2">
        <v>0.34949281467580467</v>
      </c>
      <c r="L34" s="2">
        <v>36.974313456330947</v>
      </c>
      <c r="M34" s="2">
        <v>44.99159723929116</v>
      </c>
      <c r="N34" s="2">
        <v>1918.7024605596312</v>
      </c>
      <c r="O34" s="2">
        <v>1466</v>
      </c>
      <c r="P34" s="2">
        <v>2864</v>
      </c>
      <c r="Q34" s="4" t="s">
        <v>22</v>
      </c>
      <c r="R34" s="2">
        <v>32221.462799998932</v>
      </c>
      <c r="S34" s="2">
        <v>11850515.637512559</v>
      </c>
      <c r="T34" s="2">
        <v>300033</v>
      </c>
      <c r="U34" s="2">
        <v>100036</v>
      </c>
      <c r="V34" s="3"/>
    </row>
    <row r="35" spans="1:22" x14ac:dyDescent="0.25">
      <c r="A35" s="2">
        <v>34</v>
      </c>
      <c r="B35" s="3"/>
      <c r="C35" s="2">
        <v>34</v>
      </c>
      <c r="D35" s="2">
        <v>34</v>
      </c>
      <c r="E35" s="2">
        <v>39.549904427046883</v>
      </c>
      <c r="F35" s="2">
        <v>4.636113166809082</v>
      </c>
      <c r="G35" s="2">
        <v>17836.08793368757</v>
      </c>
      <c r="H35" s="2">
        <v>91.435537945748237</v>
      </c>
      <c r="I35" s="2">
        <v>2.2202178048924206</v>
      </c>
      <c r="J35" s="2">
        <v>11.718633537574094</v>
      </c>
      <c r="K35" s="2">
        <v>0.56598057709967242</v>
      </c>
      <c r="L35" s="2">
        <v>37.006789839948091</v>
      </c>
      <c r="M35" s="2">
        <v>45.147491584766485</v>
      </c>
      <c r="N35" s="2">
        <v>1410.3274554786531</v>
      </c>
      <c r="O35" s="2">
        <v>1350</v>
      </c>
      <c r="P35" s="2">
        <v>1767</v>
      </c>
      <c r="Q35" s="4" t="s">
        <v>22</v>
      </c>
      <c r="R35" s="2">
        <v>55902.298000000883</v>
      </c>
      <c r="S35" s="2">
        <v>39549904.42704688</v>
      </c>
      <c r="T35" s="2">
        <v>300034</v>
      </c>
      <c r="U35" s="2">
        <v>100040</v>
      </c>
      <c r="V35" s="3"/>
    </row>
    <row r="36" spans="1:22" x14ac:dyDescent="0.25">
      <c r="A36" s="2">
        <v>35</v>
      </c>
      <c r="B36" s="3"/>
      <c r="C36" s="2">
        <v>35</v>
      </c>
      <c r="D36" s="2">
        <v>35</v>
      </c>
      <c r="E36" s="2">
        <v>0.50440820116734419</v>
      </c>
      <c r="F36" s="2">
        <v>2.401606559753418</v>
      </c>
      <c r="G36" s="2">
        <v>1572.2100868362163</v>
      </c>
      <c r="H36" s="2">
        <v>91.435537945748237</v>
      </c>
      <c r="I36" s="2">
        <v>0.76325677468128916</v>
      </c>
      <c r="J36" s="2">
        <v>0.85557678847319318</v>
      </c>
      <c r="K36" s="2">
        <v>9.8868104506102977E-2</v>
      </c>
      <c r="L36" s="2">
        <v>36.987487686901943</v>
      </c>
      <c r="M36" s="2">
        <v>45.206803064692359</v>
      </c>
      <c r="N36" s="2">
        <v>1360.6829268292684</v>
      </c>
      <c r="O36" s="2">
        <v>1354</v>
      </c>
      <c r="P36" s="2">
        <v>1367</v>
      </c>
      <c r="Q36" s="4" t="s">
        <v>22</v>
      </c>
      <c r="R36" s="2">
        <v>4824.9009999996051</v>
      </c>
      <c r="S36" s="2">
        <v>504408.20116734423</v>
      </c>
      <c r="T36" s="2">
        <v>300035</v>
      </c>
      <c r="U36" s="2">
        <v>100039</v>
      </c>
      <c r="V36" s="3"/>
    </row>
    <row r="37" spans="1:22" x14ac:dyDescent="0.25">
      <c r="A37" s="2">
        <v>36</v>
      </c>
      <c r="B37" s="3"/>
      <c r="C37" s="2">
        <v>36</v>
      </c>
      <c r="D37" s="2">
        <v>36</v>
      </c>
      <c r="E37" s="2">
        <v>0.34908736320725897</v>
      </c>
      <c r="F37" s="2">
        <v>4.3946599960327148</v>
      </c>
      <c r="G37" s="2">
        <v>1073.8987101939915</v>
      </c>
      <c r="H37" s="2">
        <v>91.435537945748237</v>
      </c>
      <c r="I37" s="2">
        <v>0.83806786567182101</v>
      </c>
      <c r="J37" s="2">
        <v>0.68604118277110837</v>
      </c>
      <c r="K37" s="2">
        <v>8.5332997901657076E-2</v>
      </c>
      <c r="L37" s="2">
        <v>36.986520532855501</v>
      </c>
      <c r="M37" s="2">
        <v>45.216139822516375</v>
      </c>
      <c r="N37" s="2">
        <v>1352.6519823788547</v>
      </c>
      <c r="O37" s="2">
        <v>1343</v>
      </c>
      <c r="P37" s="2">
        <v>1370</v>
      </c>
      <c r="Q37" s="4" t="s">
        <v>22</v>
      </c>
      <c r="R37" s="2">
        <v>3882.1042000006419</v>
      </c>
      <c r="S37" s="2">
        <v>349087.36320725898</v>
      </c>
      <c r="T37" s="2">
        <v>300036</v>
      </c>
      <c r="U37" s="2">
        <v>100042</v>
      </c>
      <c r="V37" s="3"/>
    </row>
    <row r="38" spans="1:22" x14ac:dyDescent="0.25">
      <c r="A38" s="2">
        <v>37</v>
      </c>
      <c r="B38" s="3"/>
      <c r="C38" s="2">
        <v>37</v>
      </c>
      <c r="D38" s="2">
        <v>37</v>
      </c>
      <c r="E38" s="2">
        <v>20.511572629997694</v>
      </c>
      <c r="F38" s="2">
        <v>13.990693092346191</v>
      </c>
      <c r="G38" s="2">
        <v>11804.694058751335</v>
      </c>
      <c r="H38" s="2">
        <v>24.3828101188662</v>
      </c>
      <c r="I38" s="2">
        <v>4.828587654734128</v>
      </c>
      <c r="J38" s="2">
        <v>7.9029472981576534</v>
      </c>
      <c r="K38" s="2">
        <v>0.4352541653482242</v>
      </c>
      <c r="L38" s="2">
        <v>37.030024553698176</v>
      </c>
      <c r="M38" s="2">
        <v>45.217673498544713</v>
      </c>
      <c r="N38" s="2">
        <v>1481.6346903583747</v>
      </c>
      <c r="O38" s="2">
        <v>1347</v>
      </c>
      <c r="P38" s="2">
        <v>1935</v>
      </c>
      <c r="Q38" s="4" t="s">
        <v>22</v>
      </c>
      <c r="R38" s="2">
        <v>41538.512799999909</v>
      </c>
      <c r="S38" s="2">
        <v>20511572.629997693</v>
      </c>
      <c r="T38" s="2">
        <v>300037</v>
      </c>
      <c r="U38" s="2">
        <v>100041</v>
      </c>
      <c r="V38" s="3"/>
    </row>
    <row r="39" spans="1:22" x14ac:dyDescent="0.25">
      <c r="A39" s="2">
        <v>38</v>
      </c>
      <c r="B39" s="3"/>
      <c r="C39" s="2">
        <v>38</v>
      </c>
      <c r="D39" s="2">
        <v>38</v>
      </c>
      <c r="E39" s="2">
        <v>18.539306063754868</v>
      </c>
      <c r="F39" s="2">
        <v>17.008937835693359</v>
      </c>
      <c r="G39" s="2">
        <v>13332.115100764098</v>
      </c>
      <c r="H39" s="2">
        <v>18.287107589149649</v>
      </c>
      <c r="I39" s="2">
        <v>4.3804002259666168</v>
      </c>
      <c r="J39" s="2">
        <v>7.4378222417293705</v>
      </c>
      <c r="K39" s="2">
        <v>0.41800429290291929</v>
      </c>
      <c r="L39" s="2">
        <v>36.963269957026391</v>
      </c>
      <c r="M39" s="2">
        <v>45.278163497897722</v>
      </c>
      <c r="N39" s="2">
        <v>1460.3265729335158</v>
      </c>
      <c r="O39" s="2">
        <v>1286</v>
      </c>
      <c r="P39" s="2">
        <v>1913</v>
      </c>
      <c r="Q39" s="4" t="s">
        <v>22</v>
      </c>
      <c r="R39" s="2">
        <v>34384.349399999948</v>
      </c>
      <c r="S39" s="2">
        <v>18539306.063754868</v>
      </c>
      <c r="T39" s="2">
        <v>300038</v>
      </c>
      <c r="U39" s="2">
        <v>100030</v>
      </c>
      <c r="V39" s="3"/>
    </row>
    <row r="40" spans="1:22" x14ac:dyDescent="0.25">
      <c r="A40" s="2">
        <v>39</v>
      </c>
      <c r="B40" s="3"/>
      <c r="C40" s="2">
        <v>39</v>
      </c>
      <c r="D40" s="2">
        <v>39</v>
      </c>
      <c r="E40" s="2">
        <v>49.247458523494785</v>
      </c>
      <c r="F40" s="2">
        <v>14.757871627807617</v>
      </c>
      <c r="G40" s="2">
        <v>16463.247810897316</v>
      </c>
      <c r="H40" s="2">
        <v>24.3828101188662</v>
      </c>
      <c r="I40" s="2">
        <v>3.2253660158630528</v>
      </c>
      <c r="J40" s="2">
        <v>13.366570832699265</v>
      </c>
      <c r="K40" s="2">
        <v>0.61786967635604717</v>
      </c>
      <c r="L40" s="2">
        <v>36.982080640033786</v>
      </c>
      <c r="M40" s="2">
        <v>45.240688745979284</v>
      </c>
      <c r="N40" s="2">
        <v>1429.2136678740944</v>
      </c>
      <c r="O40" s="2">
        <v>1318</v>
      </c>
      <c r="P40" s="2">
        <v>1917</v>
      </c>
      <c r="Q40" s="4" t="s">
        <v>22</v>
      </c>
      <c r="R40" s="2">
        <v>59174.354600004503</v>
      </c>
      <c r="S40" s="2">
        <v>49247458.523494788</v>
      </c>
      <c r="T40" s="2">
        <v>300039</v>
      </c>
      <c r="U40" s="2">
        <v>100026</v>
      </c>
      <c r="V40" s="3"/>
    </row>
    <row r="41" spans="1:22" x14ac:dyDescent="0.25">
      <c r="A41" s="2">
        <v>40</v>
      </c>
      <c r="B41" s="3"/>
      <c r="C41" s="2">
        <v>40</v>
      </c>
      <c r="D41" s="2">
        <v>40</v>
      </c>
      <c r="E41" s="2">
        <v>9.768294321997395</v>
      </c>
      <c r="F41" s="2">
        <v>6.3269696235656738</v>
      </c>
      <c r="G41" s="2">
        <v>5825.9718752875533</v>
      </c>
      <c r="H41" s="2">
        <v>60.957025297165494</v>
      </c>
      <c r="I41" s="2">
        <v>0.10298710890539368</v>
      </c>
      <c r="J41" s="2">
        <v>5.0638513944980987</v>
      </c>
      <c r="K41" s="2">
        <v>0.32349743903993994</v>
      </c>
      <c r="L41" s="2">
        <v>36.992494712403065</v>
      </c>
      <c r="M41" s="2">
        <v>45.661031470630618</v>
      </c>
      <c r="N41" s="2">
        <v>1280.5394363979849</v>
      </c>
      <c r="O41" s="2">
        <v>1266</v>
      </c>
      <c r="P41" s="2">
        <v>1379</v>
      </c>
      <c r="Q41" s="4" t="s">
        <v>22</v>
      </c>
      <c r="R41" s="2">
        <v>26731.058999999892</v>
      </c>
      <c r="S41" s="2">
        <v>9768294.3219973948</v>
      </c>
      <c r="T41" s="2">
        <v>300040</v>
      </c>
      <c r="U41" s="2">
        <v>100066</v>
      </c>
      <c r="V41" s="3"/>
    </row>
    <row r="42" spans="1:22" x14ac:dyDescent="0.25">
      <c r="A42" s="2">
        <v>41</v>
      </c>
      <c r="B42" s="3"/>
      <c r="C42" s="2">
        <v>41</v>
      </c>
      <c r="D42" s="2">
        <v>41</v>
      </c>
      <c r="E42" s="2">
        <v>16.903824130091706</v>
      </c>
      <c r="F42" s="2">
        <v>7.8004393577575684</v>
      </c>
      <c r="G42" s="2">
        <v>7387.6814350374916</v>
      </c>
      <c r="H42" s="2">
        <v>60.957025297165494</v>
      </c>
      <c r="I42" s="2">
        <v>1.8950465207666269</v>
      </c>
      <c r="J42" s="2">
        <v>7.0368888241623155</v>
      </c>
      <c r="K42" s="2">
        <v>0.40284440715941477</v>
      </c>
      <c r="L42" s="2">
        <v>36.992226028784849</v>
      </c>
      <c r="M42" s="2">
        <v>45.349707690155519</v>
      </c>
      <c r="N42" s="2">
        <v>1333.2566411935954</v>
      </c>
      <c r="O42" s="2">
        <v>1300</v>
      </c>
      <c r="P42" s="2">
        <v>1456</v>
      </c>
      <c r="Q42" s="4" t="s">
        <v>22</v>
      </c>
      <c r="R42" s="2">
        <v>29503.990200000117</v>
      </c>
      <c r="S42" s="2">
        <v>16903824.130091708</v>
      </c>
      <c r="T42" s="2">
        <v>300041</v>
      </c>
      <c r="U42" s="2">
        <v>100043</v>
      </c>
      <c r="V42" s="3"/>
    </row>
    <row r="43" spans="1:22" x14ac:dyDescent="0.25">
      <c r="A43" s="2">
        <v>42</v>
      </c>
      <c r="B43" s="3"/>
      <c r="C43" s="2">
        <v>42</v>
      </c>
      <c r="D43" s="2">
        <v>42</v>
      </c>
      <c r="E43" s="2">
        <v>41.556772232192891</v>
      </c>
      <c r="F43" s="2">
        <v>7.371711254119873</v>
      </c>
      <c r="G43" s="2">
        <v>20536.36092114872</v>
      </c>
      <c r="H43" s="2">
        <v>60.957025297165494</v>
      </c>
      <c r="I43" s="2">
        <v>5.8432942652669198E-2</v>
      </c>
      <c r="J43" s="2">
        <v>12.071876814158848</v>
      </c>
      <c r="K43" s="2">
        <v>0.57729803001012003</v>
      </c>
      <c r="L43" s="2">
        <v>36.993431291530364</v>
      </c>
      <c r="M43" s="2">
        <v>45.564728602145479</v>
      </c>
      <c r="N43" s="2">
        <v>1292.9574066535913</v>
      </c>
      <c r="O43" s="2">
        <v>1267</v>
      </c>
      <c r="P43" s="2">
        <v>1465</v>
      </c>
      <c r="Q43" s="4" t="s">
        <v>22</v>
      </c>
      <c r="R43" s="2">
        <v>57011.468599998625</v>
      </c>
      <c r="S43" s="2">
        <v>41556772.232192889</v>
      </c>
      <c r="T43" s="2">
        <v>300042</v>
      </c>
      <c r="U43" s="2">
        <v>100067</v>
      </c>
      <c r="V43" s="3"/>
    </row>
    <row r="44" spans="1:22" x14ac:dyDescent="0.25">
      <c r="A44" s="2">
        <v>43</v>
      </c>
      <c r="B44" s="3"/>
      <c r="C44" s="2">
        <v>43</v>
      </c>
      <c r="D44" s="2">
        <v>43</v>
      </c>
      <c r="E44" s="2">
        <v>13.379118480990011</v>
      </c>
      <c r="F44" s="2">
        <v>9.9777383804321289</v>
      </c>
      <c r="G44" s="2">
        <v>9592.0918702308427</v>
      </c>
      <c r="H44" s="2">
        <v>60.957025297165494</v>
      </c>
      <c r="I44" s="2">
        <v>1.8556953207717375</v>
      </c>
      <c r="J44" s="2">
        <v>6.1157005179689525</v>
      </c>
      <c r="K44" s="2">
        <v>0.36687181830923909</v>
      </c>
      <c r="L44" s="2">
        <v>37.005222630372984</v>
      </c>
      <c r="M44" s="2">
        <v>45.38459827626783</v>
      </c>
      <c r="N44" s="2">
        <v>1393.0681034482759</v>
      </c>
      <c r="O44" s="2">
        <v>1296</v>
      </c>
      <c r="P44" s="2">
        <v>1484</v>
      </c>
      <c r="Q44" s="4" t="s">
        <v>22</v>
      </c>
      <c r="R44" s="2">
        <v>30224.952399997506</v>
      </c>
      <c r="S44" s="2">
        <v>13379118.480990011</v>
      </c>
      <c r="T44" s="2">
        <v>300043</v>
      </c>
      <c r="U44" s="2">
        <v>100045</v>
      </c>
      <c r="V44" s="3"/>
    </row>
    <row r="45" spans="1:22" x14ac:dyDescent="0.25">
      <c r="A45" s="2">
        <v>44</v>
      </c>
      <c r="B45" s="3"/>
      <c r="C45" s="2">
        <v>44</v>
      </c>
      <c r="D45" s="2">
        <v>44</v>
      </c>
      <c r="E45" s="2">
        <v>13.476001746386725</v>
      </c>
      <c r="F45" s="2">
        <v>9.5058355331420898</v>
      </c>
      <c r="G45" s="2">
        <v>11248.475229811796</v>
      </c>
      <c r="H45" s="2">
        <v>60.957025297165494</v>
      </c>
      <c r="I45" s="2">
        <v>2.1602927955602187</v>
      </c>
      <c r="J45" s="2">
        <v>6.1422338269325403</v>
      </c>
      <c r="K45" s="2">
        <v>0.36793218176743869</v>
      </c>
      <c r="L45" s="2">
        <v>36.978556871627838</v>
      </c>
      <c r="M45" s="2">
        <v>45.152117838572636</v>
      </c>
      <c r="N45" s="2">
        <v>1456.940203126783</v>
      </c>
      <c r="O45" s="2">
        <v>1364</v>
      </c>
      <c r="P45" s="2">
        <v>1701</v>
      </c>
      <c r="Q45" s="4" t="s">
        <v>22</v>
      </c>
      <c r="R45" s="2">
        <v>31999.628600003896</v>
      </c>
      <c r="S45" s="2">
        <v>13476001.746386725</v>
      </c>
      <c r="T45" s="2">
        <v>300044</v>
      </c>
      <c r="U45" s="2">
        <v>100037</v>
      </c>
      <c r="V45" s="3"/>
    </row>
    <row r="46" spans="1:22" x14ac:dyDescent="0.25">
      <c r="A46" s="2">
        <v>45</v>
      </c>
      <c r="B46" s="3"/>
      <c r="C46" s="2">
        <v>45</v>
      </c>
      <c r="D46" s="2">
        <v>45</v>
      </c>
      <c r="E46" s="2">
        <v>12.374146746100664</v>
      </c>
      <c r="F46" s="2">
        <v>8.637700080871582</v>
      </c>
      <c r="G46" s="2">
        <v>8931.176877056334</v>
      </c>
      <c r="H46" s="2">
        <v>60.957025297165494</v>
      </c>
      <c r="I46" s="2">
        <v>3.5941511899135046</v>
      </c>
      <c r="J46" s="2">
        <v>5.8357794119687734</v>
      </c>
      <c r="K46" s="2">
        <v>0.35558993286571222</v>
      </c>
      <c r="L46" s="2">
        <v>36.959602700804837</v>
      </c>
      <c r="M46" s="2">
        <v>45.329686023748501</v>
      </c>
      <c r="N46" s="2">
        <v>1348.1995277449823</v>
      </c>
      <c r="O46" s="2">
        <v>1300</v>
      </c>
      <c r="P46" s="2">
        <v>1636</v>
      </c>
      <c r="Q46" s="4" t="s">
        <v>22</v>
      </c>
      <c r="R46" s="2">
        <v>26398.30620000069</v>
      </c>
      <c r="S46" s="2">
        <v>12374146.746100664</v>
      </c>
      <c r="T46" s="2">
        <v>300045</v>
      </c>
      <c r="U46" s="2">
        <v>100044</v>
      </c>
      <c r="V46" s="3"/>
    </row>
    <row r="47" spans="1:22" x14ac:dyDescent="0.25">
      <c r="A47" s="2">
        <v>46</v>
      </c>
      <c r="B47" s="3"/>
      <c r="C47" s="2">
        <v>46</v>
      </c>
      <c r="D47" s="2">
        <v>46</v>
      </c>
      <c r="E47" s="2">
        <v>9.6414233936751863</v>
      </c>
      <c r="F47" s="2">
        <v>9.329864501953125</v>
      </c>
      <c r="G47" s="2">
        <v>7795.9075539394335</v>
      </c>
      <c r="H47" s="2">
        <v>60.957025297165494</v>
      </c>
      <c r="I47" s="2">
        <v>3.3992193746075143</v>
      </c>
      <c r="J47" s="2">
        <v>5.0242865811954376</v>
      </c>
      <c r="K47" s="2">
        <v>0.32181020668104976</v>
      </c>
      <c r="L47" s="2">
        <v>36.963183867288357</v>
      </c>
      <c r="M47" s="2">
        <v>45.361895599763862</v>
      </c>
      <c r="N47" s="2">
        <v>1336.0569423398995</v>
      </c>
      <c r="O47" s="2">
        <v>1294</v>
      </c>
      <c r="P47" s="2">
        <v>1573</v>
      </c>
      <c r="Q47" s="4" t="s">
        <v>22</v>
      </c>
      <c r="R47" s="2">
        <v>30834.99599999818</v>
      </c>
      <c r="S47" s="2">
        <v>9641423.3936751857</v>
      </c>
      <c r="T47" s="2">
        <v>300046</v>
      </c>
      <c r="U47" s="2">
        <v>100087</v>
      </c>
      <c r="V47" s="3"/>
    </row>
    <row r="48" spans="1:22" x14ac:dyDescent="0.25">
      <c r="A48" s="2">
        <v>47</v>
      </c>
      <c r="B48" s="3"/>
      <c r="C48" s="2">
        <v>47</v>
      </c>
      <c r="D48" s="2">
        <v>47</v>
      </c>
      <c r="E48" s="2">
        <v>17.701957750486635</v>
      </c>
      <c r="F48" s="2">
        <v>4.8520946502685547</v>
      </c>
      <c r="G48" s="2">
        <v>18481.266638957517</v>
      </c>
      <c r="H48" s="2">
        <v>91.435537945748237</v>
      </c>
      <c r="I48" s="2">
        <v>0.40581634075828998</v>
      </c>
      <c r="J48" s="2">
        <v>7.2343995401140297</v>
      </c>
      <c r="K48" s="2">
        <v>0.41034757595235294</v>
      </c>
      <c r="L48" s="2">
        <v>36.97296864458513</v>
      </c>
      <c r="M48" s="2">
        <v>45.487018502041579</v>
      </c>
      <c r="N48" s="2">
        <v>1294.0514725045609</v>
      </c>
      <c r="O48" s="2">
        <v>1279</v>
      </c>
      <c r="P48" s="2">
        <v>1365</v>
      </c>
      <c r="Q48" s="4" t="s">
        <v>22</v>
      </c>
      <c r="R48" s="2">
        <v>52574.778599997982</v>
      </c>
      <c r="S48" s="2">
        <v>17701957.750486635</v>
      </c>
      <c r="T48" s="2">
        <v>300047</v>
      </c>
      <c r="U48" s="2">
        <v>100047</v>
      </c>
      <c r="V48" s="3"/>
    </row>
    <row r="49" spans="1:22" x14ac:dyDescent="0.25">
      <c r="A49" s="2">
        <v>48</v>
      </c>
      <c r="B49" s="3"/>
      <c r="C49" s="2">
        <v>48</v>
      </c>
      <c r="D49" s="2">
        <v>48</v>
      </c>
      <c r="E49" s="2">
        <v>0.66357351524024155</v>
      </c>
      <c r="F49" s="2">
        <v>4.5646347999572754</v>
      </c>
      <c r="G49" s="2">
        <v>1710.856656670401</v>
      </c>
      <c r="H49" s="2">
        <v>91.435537945748237</v>
      </c>
      <c r="I49" s="2">
        <v>0.40915175287818162</v>
      </c>
      <c r="J49" s="2">
        <v>1.0086096910771005</v>
      </c>
      <c r="K49" s="2">
        <v>0.11033135958365674</v>
      </c>
      <c r="L49" s="2">
        <v>36.964768593936768</v>
      </c>
      <c r="M49" s="2">
        <v>45.383440143672836</v>
      </c>
      <c r="N49" s="2">
        <v>1306.71842410197</v>
      </c>
      <c r="O49" s="2">
        <v>1298</v>
      </c>
      <c r="P49" s="2">
        <v>1314</v>
      </c>
      <c r="Q49" s="4" t="s">
        <v>22</v>
      </c>
      <c r="R49" s="2">
        <v>5656.7799999993294</v>
      </c>
      <c r="S49" s="2">
        <v>663573.51524024154</v>
      </c>
      <c r="T49" s="2">
        <v>300048</v>
      </c>
      <c r="U49" s="2">
        <v>100049</v>
      </c>
      <c r="V49" s="3"/>
    </row>
    <row r="50" spans="1:22" x14ac:dyDescent="0.25">
      <c r="A50" s="2">
        <v>49</v>
      </c>
      <c r="B50" s="3"/>
      <c r="C50" s="2">
        <v>49</v>
      </c>
      <c r="D50" s="2">
        <v>49</v>
      </c>
      <c r="E50" s="2">
        <v>5.8422150275694849</v>
      </c>
      <c r="F50" s="2">
        <v>6.6594128608703613</v>
      </c>
      <c r="G50" s="2">
        <v>5604.1373635562259</v>
      </c>
      <c r="H50" s="2">
        <v>60.957025297165494</v>
      </c>
      <c r="I50" s="2">
        <v>1.9628355421002233</v>
      </c>
      <c r="J50" s="2">
        <v>3.7199425501470547</v>
      </c>
      <c r="K50" s="2">
        <v>0.26337489004626485</v>
      </c>
      <c r="L50" s="2">
        <v>36.970351927272993</v>
      </c>
      <c r="M50" s="2">
        <v>45.396756498060249</v>
      </c>
      <c r="N50" s="2">
        <v>1312.7037378257437</v>
      </c>
      <c r="O50" s="2">
        <v>1291</v>
      </c>
      <c r="P50" s="2">
        <v>1413</v>
      </c>
      <c r="Q50" s="4" t="s">
        <v>22</v>
      </c>
      <c r="R50" s="2">
        <v>16304.836799996672</v>
      </c>
      <c r="S50" s="2">
        <v>5842215.0275694849</v>
      </c>
      <c r="T50" s="2">
        <v>300049</v>
      </c>
      <c r="U50" s="2">
        <v>100046</v>
      </c>
      <c r="V50" s="3"/>
    </row>
    <row r="51" spans="1:22" x14ac:dyDescent="0.25">
      <c r="A51" s="2">
        <v>50</v>
      </c>
      <c r="B51" s="3"/>
      <c r="C51" s="2">
        <v>50</v>
      </c>
      <c r="D51" s="2">
        <v>50</v>
      </c>
      <c r="E51" s="2">
        <v>48.871459250729075</v>
      </c>
      <c r="F51" s="2">
        <v>22.211750030517578</v>
      </c>
      <c r="G51" s="2">
        <v>19412.408399914864</v>
      </c>
      <c r="H51" s="2">
        <v>15.239256324291373</v>
      </c>
      <c r="I51" s="2">
        <v>7.3355143301345596</v>
      </c>
      <c r="J51" s="2">
        <v>13.305245564055598</v>
      </c>
      <c r="K51" s="2">
        <v>0.61597838813950501</v>
      </c>
      <c r="L51" s="2">
        <v>36.960748303461727</v>
      </c>
      <c r="M51" s="2">
        <v>45.033634468726937</v>
      </c>
      <c r="N51" s="2">
        <v>1645.5325852395338</v>
      </c>
      <c r="O51" s="2">
        <v>1425</v>
      </c>
      <c r="P51" s="2">
        <v>2044</v>
      </c>
      <c r="Q51" s="4" t="s">
        <v>22</v>
      </c>
      <c r="R51" s="2">
        <v>57455.139999995707</v>
      </c>
      <c r="S51" s="2">
        <v>48871459.250729077</v>
      </c>
      <c r="T51" s="2">
        <v>300050</v>
      </c>
      <c r="U51" s="2">
        <v>100028</v>
      </c>
      <c r="V51" s="3"/>
    </row>
    <row r="52" spans="1:22" x14ac:dyDescent="0.25">
      <c r="A52" s="2">
        <v>51</v>
      </c>
      <c r="B52" s="3"/>
      <c r="C52" s="2">
        <v>51</v>
      </c>
      <c r="D52" s="2">
        <v>51</v>
      </c>
      <c r="E52" s="2">
        <v>14.423304864385246</v>
      </c>
      <c r="F52" s="2">
        <v>11.501705169677734</v>
      </c>
      <c r="G52" s="2">
        <v>11205.318734572831</v>
      </c>
      <c r="H52" s="2">
        <v>60.957025297165494</v>
      </c>
      <c r="I52" s="2">
        <v>6.2470333649700095E-2</v>
      </c>
      <c r="J52" s="2">
        <v>6.3977693684074426</v>
      </c>
      <c r="K52" s="2">
        <v>0.37806743045498364</v>
      </c>
      <c r="L52" s="2">
        <v>36.965697355913605</v>
      </c>
      <c r="M52" s="2">
        <v>45.607865352761209</v>
      </c>
      <c r="N52" s="2">
        <v>1297.0127412304084</v>
      </c>
      <c r="O52" s="2">
        <v>1268</v>
      </c>
      <c r="P52" s="2">
        <v>1453</v>
      </c>
      <c r="Q52" s="4" t="s">
        <v>22</v>
      </c>
      <c r="R52" s="2">
        <v>36159.025400000392</v>
      </c>
      <c r="S52" s="2">
        <v>14423304.864385245</v>
      </c>
      <c r="T52" s="2">
        <v>300051</v>
      </c>
      <c r="U52" s="2">
        <v>100088</v>
      </c>
      <c r="V52" s="3"/>
    </row>
    <row r="53" spans="1:22" x14ac:dyDescent="0.25">
      <c r="A53" s="2">
        <v>52</v>
      </c>
      <c r="B53" s="3"/>
      <c r="C53" s="2">
        <v>52</v>
      </c>
      <c r="D53" s="2">
        <v>52</v>
      </c>
      <c r="E53" s="2">
        <v>1.8453956878335442</v>
      </c>
      <c r="F53" s="2">
        <v>3.5218973159790039</v>
      </c>
      <c r="G53" s="2">
        <v>3581.529993418646</v>
      </c>
      <c r="H53" s="2">
        <v>91.435537945748237</v>
      </c>
      <c r="I53" s="2">
        <v>0.2512892539372345</v>
      </c>
      <c r="J53" s="2">
        <v>1.8631310823539091</v>
      </c>
      <c r="K53" s="2">
        <v>0.16610364122029059</v>
      </c>
      <c r="L53" s="2">
        <v>36.957044904314941</v>
      </c>
      <c r="M53" s="2">
        <v>45.5571175815519</v>
      </c>
      <c r="N53" s="2">
        <v>1285.5</v>
      </c>
      <c r="O53" s="2">
        <v>1278</v>
      </c>
      <c r="P53" s="2">
        <v>1293</v>
      </c>
      <c r="Q53" s="4" t="s">
        <v>22</v>
      </c>
      <c r="R53" s="2">
        <v>11479.936200000346</v>
      </c>
      <c r="S53" s="2">
        <v>1845395.6878335443</v>
      </c>
      <c r="T53" s="2">
        <v>300052</v>
      </c>
      <c r="U53" s="2">
        <v>100053</v>
      </c>
      <c r="V53" s="3"/>
    </row>
    <row r="54" spans="1:22" x14ac:dyDescent="0.25">
      <c r="A54" s="2">
        <v>53</v>
      </c>
      <c r="B54" s="3"/>
      <c r="C54" s="2">
        <v>53</v>
      </c>
      <c r="D54" s="2">
        <v>53</v>
      </c>
      <c r="E54" s="2">
        <v>0.30910376734827955</v>
      </c>
      <c r="F54" s="2">
        <v>4.7872977256774902</v>
      </c>
      <c r="G54" s="2">
        <v>1243.2305865014528</v>
      </c>
      <c r="H54" s="2">
        <v>91.435537945748237</v>
      </c>
      <c r="I54" s="2">
        <v>0.1</v>
      </c>
      <c r="J54" s="2">
        <v>0.63775267552983594</v>
      </c>
      <c r="K54" s="2">
        <v>8.1280257650414842E-2</v>
      </c>
      <c r="L54" s="2">
        <v>36.956757616590458</v>
      </c>
      <c r="M54" s="2">
        <v>45.573497479423082</v>
      </c>
      <c r="N54" s="2">
        <v>1283.3084577114428</v>
      </c>
      <c r="O54" s="2">
        <v>1257</v>
      </c>
      <c r="P54" s="2">
        <v>1288</v>
      </c>
      <c r="Q54" s="4" t="s">
        <v>22</v>
      </c>
      <c r="R54" s="2">
        <v>3771.1869999996852</v>
      </c>
      <c r="S54" s="2">
        <v>309103.76734827954</v>
      </c>
      <c r="T54" s="2">
        <v>300053</v>
      </c>
      <c r="U54" s="2">
        <v>100055</v>
      </c>
      <c r="V54" s="3"/>
    </row>
    <row r="55" spans="1:22" x14ac:dyDescent="0.25">
      <c r="A55" s="2">
        <v>54</v>
      </c>
      <c r="B55" s="3"/>
      <c r="C55" s="2">
        <v>54</v>
      </c>
      <c r="D55" s="2">
        <v>54</v>
      </c>
      <c r="E55" s="2">
        <v>0.79352009155760028</v>
      </c>
      <c r="F55" s="2">
        <v>5.5542645454406738</v>
      </c>
      <c r="G55" s="2">
        <v>2213.9256314499435</v>
      </c>
      <c r="H55" s="2">
        <v>60.957025297165494</v>
      </c>
      <c r="I55" s="2">
        <v>0.13550590667470799</v>
      </c>
      <c r="J55" s="2">
        <v>1.122857041227449</v>
      </c>
      <c r="K55" s="2">
        <v>0.11851314501153302</v>
      </c>
      <c r="L55" s="2">
        <v>36.955455166644356</v>
      </c>
      <c r="M55" s="2">
        <v>45.57861839024897</v>
      </c>
      <c r="N55" s="2">
        <v>1283.5804263565892</v>
      </c>
      <c r="O55" s="2">
        <v>1264</v>
      </c>
      <c r="P55" s="2">
        <v>1298</v>
      </c>
      <c r="Q55" s="4" t="s">
        <v>22</v>
      </c>
      <c r="R55" s="2">
        <v>8096.9595999969169</v>
      </c>
      <c r="S55" s="2">
        <v>793520.0915576003</v>
      </c>
      <c r="T55" s="2">
        <v>300054</v>
      </c>
      <c r="U55" s="2">
        <v>100051</v>
      </c>
      <c r="V55" s="3"/>
    </row>
    <row r="56" spans="1:22" x14ac:dyDescent="0.25">
      <c r="A56" s="2">
        <v>55</v>
      </c>
      <c r="B56" s="3"/>
      <c r="C56" s="2">
        <v>55</v>
      </c>
      <c r="D56" s="2">
        <v>55</v>
      </c>
      <c r="E56" s="2">
        <v>1.1187711100129585</v>
      </c>
      <c r="F56" s="2">
        <v>7.9748620986938477</v>
      </c>
      <c r="G56" s="2">
        <v>2558.1632570021939</v>
      </c>
      <c r="H56" s="2">
        <v>60.957025297165494</v>
      </c>
      <c r="I56" s="2">
        <v>0.42999601256451653</v>
      </c>
      <c r="J56" s="2">
        <v>1.3798581916321395</v>
      </c>
      <c r="K56" s="2">
        <v>0.13596898310778791</v>
      </c>
      <c r="L56" s="2">
        <v>36.950021043773511</v>
      </c>
      <c r="M56" s="2">
        <v>45.586775092769706</v>
      </c>
      <c r="N56" s="2">
        <v>1283.2907216494846</v>
      </c>
      <c r="O56" s="2">
        <v>1247</v>
      </c>
      <c r="P56" s="2">
        <v>1295</v>
      </c>
      <c r="Q56" s="4" t="s">
        <v>22</v>
      </c>
      <c r="R56" s="2">
        <v>8928.838800001191</v>
      </c>
      <c r="S56" s="2">
        <v>1118771.1100129585</v>
      </c>
      <c r="T56" s="2">
        <v>300055</v>
      </c>
      <c r="U56" s="2">
        <v>100052</v>
      </c>
      <c r="V56" s="3"/>
    </row>
    <row r="57" spans="1:22" x14ac:dyDescent="0.25">
      <c r="A57" s="2">
        <v>56</v>
      </c>
      <c r="B57" s="3"/>
      <c r="C57" s="2">
        <v>56</v>
      </c>
      <c r="D57" s="2">
        <v>56</v>
      </c>
      <c r="E57" s="2">
        <v>10.31653058404479</v>
      </c>
      <c r="F57" s="2">
        <v>12.041486740112305</v>
      </c>
      <c r="G57" s="2">
        <v>6301.1424800558116</v>
      </c>
      <c r="H57" s="2">
        <v>24.3828101188662</v>
      </c>
      <c r="I57" s="2">
        <v>2.5709623375881052</v>
      </c>
      <c r="J57" s="2">
        <v>5.2325081361472572</v>
      </c>
      <c r="K57" s="2">
        <v>0.33064108720491864</v>
      </c>
      <c r="L57" s="2">
        <v>36.943425083253103</v>
      </c>
      <c r="M57" s="2">
        <v>45.621544140121145</v>
      </c>
      <c r="N57" s="2">
        <v>1321.5910412163673</v>
      </c>
      <c r="O57" s="2">
        <v>1272</v>
      </c>
      <c r="P57" s="2">
        <v>1559</v>
      </c>
      <c r="Q57" s="4" t="s">
        <v>22</v>
      </c>
      <c r="R57" s="2">
        <v>20408.775199999101</v>
      </c>
      <c r="S57" s="2">
        <v>10316530.58404479</v>
      </c>
      <c r="T57" s="2">
        <v>300056</v>
      </c>
      <c r="U57" s="2">
        <v>100058</v>
      </c>
      <c r="V57" s="3"/>
    </row>
    <row r="58" spans="1:22" x14ac:dyDescent="0.25">
      <c r="A58" s="2">
        <v>57</v>
      </c>
      <c r="B58" s="3"/>
      <c r="C58" s="2">
        <v>57</v>
      </c>
      <c r="D58" s="2">
        <v>57</v>
      </c>
      <c r="E58" s="2">
        <v>6.7702952520118664</v>
      </c>
      <c r="F58" s="2">
        <v>4.8996872901916504</v>
      </c>
      <c r="G58" s="2">
        <v>6357.7554948481984</v>
      </c>
      <c r="H58" s="2">
        <v>91.435537945748237</v>
      </c>
      <c r="I58" s="2">
        <v>0.20447467680275105</v>
      </c>
      <c r="J58" s="2">
        <v>4.0640053920069548</v>
      </c>
      <c r="K58" s="2">
        <v>0.27937426362559492</v>
      </c>
      <c r="L58" s="2">
        <v>36.954818595912755</v>
      </c>
      <c r="M58" s="2">
        <v>45.478591509827851</v>
      </c>
      <c r="N58" s="2">
        <v>1292.431913685406</v>
      </c>
      <c r="O58" s="2">
        <v>1281</v>
      </c>
      <c r="P58" s="2">
        <v>1305</v>
      </c>
      <c r="Q58" s="4" t="s">
        <v>22</v>
      </c>
      <c r="R58" s="2">
        <v>21795.24080000096</v>
      </c>
      <c r="S58" s="2">
        <v>6770295.2520118663</v>
      </c>
      <c r="T58" s="2">
        <v>300057</v>
      </c>
      <c r="U58" s="2">
        <v>100059</v>
      </c>
      <c r="V58" s="3"/>
    </row>
    <row r="59" spans="1:22" x14ac:dyDescent="0.25">
      <c r="A59" s="2">
        <v>58</v>
      </c>
      <c r="B59" s="3"/>
      <c r="C59" s="2">
        <v>58</v>
      </c>
      <c r="D59" s="2">
        <v>58</v>
      </c>
      <c r="E59" s="2">
        <v>23.20738808169887</v>
      </c>
      <c r="F59" s="2">
        <v>6.0031290054321289</v>
      </c>
      <c r="G59" s="2">
        <v>13034.806237768507</v>
      </c>
      <c r="H59" s="2">
        <v>60.957025297165494</v>
      </c>
      <c r="I59" s="2">
        <v>2.5777138061817593</v>
      </c>
      <c r="J59" s="2">
        <v>8.5107036669780918</v>
      </c>
      <c r="K59" s="2">
        <v>0.45729226790042793</v>
      </c>
      <c r="L59" s="2">
        <v>36.944182941268124</v>
      </c>
      <c r="M59" s="2">
        <v>45.506810916874144</v>
      </c>
      <c r="N59" s="2">
        <v>1304.4394340997947</v>
      </c>
      <c r="O59" s="2">
        <v>1278</v>
      </c>
      <c r="P59" s="2">
        <v>1624</v>
      </c>
      <c r="Q59" s="4" t="s">
        <v>22</v>
      </c>
      <c r="R59" s="2">
        <v>48748.135599998292</v>
      </c>
      <c r="S59" s="2">
        <v>23207388.081698868</v>
      </c>
      <c r="T59" s="2">
        <v>300058</v>
      </c>
      <c r="U59" s="2">
        <v>100048</v>
      </c>
      <c r="V59" s="3"/>
    </row>
    <row r="60" spans="1:22" x14ac:dyDescent="0.25">
      <c r="A60" s="2">
        <v>59</v>
      </c>
      <c r="B60" s="3"/>
      <c r="C60" s="2">
        <v>59</v>
      </c>
      <c r="D60" s="2">
        <v>59</v>
      </c>
      <c r="E60" s="2">
        <v>23.294275455756317</v>
      </c>
      <c r="F60" s="2">
        <v>12.546704292297363</v>
      </c>
      <c r="G60" s="2">
        <v>14297.88349153801</v>
      </c>
      <c r="H60" s="2">
        <v>24.3828101188662</v>
      </c>
      <c r="I60" s="2">
        <v>4.4412167743275797</v>
      </c>
      <c r="J60" s="2">
        <v>8.5298075819582806</v>
      </c>
      <c r="K60" s="2">
        <v>0.45797633257202841</v>
      </c>
      <c r="L60" s="2">
        <v>36.936130533332445</v>
      </c>
      <c r="M60" s="2">
        <v>45.397936605998304</v>
      </c>
      <c r="N60" s="2">
        <v>1368.0594157451724</v>
      </c>
      <c r="O60" s="2">
        <v>1286</v>
      </c>
      <c r="P60" s="2">
        <v>1936</v>
      </c>
      <c r="Q60" s="4" t="s">
        <v>22</v>
      </c>
      <c r="R60" s="2">
        <v>42093.098599998746</v>
      </c>
      <c r="S60" s="2">
        <v>23294275.455756318</v>
      </c>
      <c r="T60" s="2">
        <v>300059</v>
      </c>
      <c r="U60" s="2">
        <v>100064</v>
      </c>
      <c r="V60" s="3"/>
    </row>
    <row r="61" spans="1:22" x14ac:dyDescent="0.25">
      <c r="A61" s="2">
        <v>60</v>
      </c>
      <c r="B61" s="3"/>
      <c r="C61" s="2">
        <v>60</v>
      </c>
      <c r="D61" s="2">
        <v>60</v>
      </c>
      <c r="E61" s="2">
        <v>12.960059903365298</v>
      </c>
      <c r="F61" s="2">
        <v>9.5812492370605469</v>
      </c>
      <c r="G61" s="2">
        <v>12284.960373730828</v>
      </c>
      <c r="H61" s="2">
        <v>60.957025297165494</v>
      </c>
      <c r="I61" s="2">
        <v>5.6329038022761324</v>
      </c>
      <c r="J61" s="2">
        <v>6.0000368220982443</v>
      </c>
      <c r="K61" s="2">
        <v>0.36223145127871242</v>
      </c>
      <c r="L61" s="2">
        <v>36.932825425197976</v>
      </c>
      <c r="M61" s="2">
        <v>45.43690954500785</v>
      </c>
      <c r="N61" s="2">
        <v>1358.1027588252743</v>
      </c>
      <c r="O61" s="2">
        <v>1279</v>
      </c>
      <c r="P61" s="2">
        <v>1983</v>
      </c>
      <c r="Q61" s="4" t="s">
        <v>22</v>
      </c>
      <c r="R61" s="2">
        <v>42425.85100000375</v>
      </c>
      <c r="S61" s="2">
        <v>12960059.903365299</v>
      </c>
      <c r="T61" s="2">
        <v>300060</v>
      </c>
      <c r="U61" s="2">
        <v>100061</v>
      </c>
      <c r="V61" s="3"/>
    </row>
    <row r="62" spans="1:22" x14ac:dyDescent="0.25">
      <c r="A62" s="2">
        <v>61</v>
      </c>
      <c r="B62" s="3"/>
      <c r="C62" s="2">
        <v>61</v>
      </c>
      <c r="D62" s="2">
        <v>61</v>
      </c>
      <c r="E62" s="2">
        <v>32.433597445958291</v>
      </c>
      <c r="F62" s="2">
        <v>12.863058090209961</v>
      </c>
      <c r="G62" s="2">
        <v>14536.130515392717</v>
      </c>
      <c r="H62" s="2">
        <v>24.3828101188662</v>
      </c>
      <c r="I62" s="2">
        <v>4.0313341943336853</v>
      </c>
      <c r="J62" s="2">
        <v>10.403675161285459</v>
      </c>
      <c r="K62" s="2">
        <v>0.52280700880852549</v>
      </c>
      <c r="L62" s="2">
        <v>36.919601957451356</v>
      </c>
      <c r="M62" s="2">
        <v>45.536317580049911</v>
      </c>
      <c r="N62" s="2">
        <v>1379.5062943031223</v>
      </c>
      <c r="O62" s="2">
        <v>1279</v>
      </c>
      <c r="P62" s="2">
        <v>1866</v>
      </c>
      <c r="Q62" s="4" t="s">
        <v>22</v>
      </c>
      <c r="R62" s="2">
        <v>41982.180799999973</v>
      </c>
      <c r="S62" s="2">
        <v>32433597.445958294</v>
      </c>
      <c r="T62" s="2">
        <v>300061</v>
      </c>
      <c r="U62" s="2">
        <v>100054</v>
      </c>
      <c r="V62" s="3"/>
    </row>
    <row r="63" spans="1:22" x14ac:dyDescent="0.25">
      <c r="A63" s="2">
        <v>62</v>
      </c>
      <c r="B63" s="3"/>
      <c r="C63" s="2">
        <v>62</v>
      </c>
      <c r="D63" s="2">
        <v>62</v>
      </c>
      <c r="E63" s="2">
        <v>13.668230421293492</v>
      </c>
      <c r="F63" s="2">
        <v>20.877176284790039</v>
      </c>
      <c r="G63" s="2">
        <v>12152.225788871043</v>
      </c>
      <c r="H63" s="2">
        <v>15.239256324291373</v>
      </c>
      <c r="I63" s="2">
        <v>5.7602616357001617</v>
      </c>
      <c r="J63" s="2">
        <v>6.1946544452834198</v>
      </c>
      <c r="K63" s="2">
        <v>0.37002261577256496</v>
      </c>
      <c r="L63" s="2">
        <v>36.912993592971361</v>
      </c>
      <c r="M63" s="2">
        <v>45.403553416859168</v>
      </c>
      <c r="N63" s="2">
        <v>1503.6251687668766</v>
      </c>
      <c r="O63" s="2">
        <v>1290</v>
      </c>
      <c r="P63" s="2">
        <v>2014</v>
      </c>
      <c r="Q63" s="4" t="s">
        <v>22</v>
      </c>
      <c r="R63" s="2">
        <v>31223.207600001013</v>
      </c>
      <c r="S63" s="2">
        <v>13668230.421293491</v>
      </c>
      <c r="T63" s="2">
        <v>300062</v>
      </c>
      <c r="U63" s="2">
        <v>100063</v>
      </c>
      <c r="V63" s="3"/>
    </row>
    <row r="64" spans="1:22" x14ac:dyDescent="0.25">
      <c r="A64" s="2">
        <v>63</v>
      </c>
      <c r="B64" s="3"/>
      <c r="C64" s="2">
        <v>63</v>
      </c>
      <c r="D64" s="2">
        <v>63</v>
      </c>
      <c r="E64" s="2">
        <v>19.758804923595353</v>
      </c>
      <c r="F64" s="2">
        <v>14.750289916992188</v>
      </c>
      <c r="G64" s="2">
        <v>8979.0909704286005</v>
      </c>
      <c r="H64" s="2">
        <v>24.3828101188662</v>
      </c>
      <c r="I64" s="2">
        <v>3.5192872089246285</v>
      </c>
      <c r="J64" s="2">
        <v>7.7276263448759996</v>
      </c>
      <c r="K64" s="2">
        <v>0.42879293560616782</v>
      </c>
      <c r="L64" s="2">
        <v>36.920676172187932</v>
      </c>
      <c r="M64" s="2">
        <v>45.594699630592054</v>
      </c>
      <c r="N64" s="2">
        <v>1354.7231972603806</v>
      </c>
      <c r="O64" s="2">
        <v>1273</v>
      </c>
      <c r="P64" s="2">
        <v>1707</v>
      </c>
      <c r="Q64" s="4" t="s">
        <v>22</v>
      </c>
      <c r="R64" s="2">
        <v>31278.667399999686</v>
      </c>
      <c r="S64" s="2">
        <v>19758804.923595354</v>
      </c>
      <c r="T64" s="2">
        <v>300063</v>
      </c>
      <c r="U64" s="2">
        <v>100057</v>
      </c>
      <c r="V64" s="3"/>
    </row>
    <row r="65" spans="1:22" x14ac:dyDescent="0.25">
      <c r="A65" s="2">
        <v>64</v>
      </c>
      <c r="B65" s="3"/>
      <c r="C65" s="2">
        <v>64</v>
      </c>
      <c r="D65" s="2">
        <v>64</v>
      </c>
      <c r="E65" s="2">
        <v>6.3612325795906415</v>
      </c>
      <c r="F65" s="2">
        <v>7.7979717254638672</v>
      </c>
      <c r="G65" s="2">
        <v>6494.4314030328296</v>
      </c>
      <c r="H65" s="2">
        <v>60.957025297165494</v>
      </c>
      <c r="I65" s="2">
        <v>2.6792183826707889</v>
      </c>
      <c r="J65" s="2">
        <v>3.9148441280404511</v>
      </c>
      <c r="K65" s="2">
        <v>0.27249583092119672</v>
      </c>
      <c r="L65" s="2">
        <v>36.92356128820056</v>
      </c>
      <c r="M65" s="2">
        <v>45.459293903210842</v>
      </c>
      <c r="N65" s="2">
        <v>1316.3035174664572</v>
      </c>
      <c r="O65" s="2">
        <v>1287</v>
      </c>
      <c r="P65" s="2">
        <v>1469</v>
      </c>
      <c r="Q65" s="4" t="s">
        <v>22</v>
      </c>
      <c r="R65" s="2">
        <v>19521.436400000239</v>
      </c>
      <c r="S65" s="2">
        <v>6361232.5795906419</v>
      </c>
      <c r="T65" s="2">
        <v>300064</v>
      </c>
      <c r="U65" s="2">
        <v>100062</v>
      </c>
      <c r="V65" s="3"/>
    </row>
    <row r="66" spans="1:22" x14ac:dyDescent="0.25">
      <c r="A66" s="2">
        <v>65</v>
      </c>
      <c r="B66" s="3"/>
      <c r="C66" s="2">
        <v>65</v>
      </c>
      <c r="D66" s="2">
        <v>65</v>
      </c>
      <c r="E66" s="2">
        <v>34.708047516795261</v>
      </c>
      <c r="F66" s="2">
        <v>16.744421005249023</v>
      </c>
      <c r="G66" s="2">
        <v>14195.017938383435</v>
      </c>
      <c r="H66" s="2">
        <v>18.287107589149649</v>
      </c>
      <c r="I66" s="2">
        <v>4.1352536682095176</v>
      </c>
      <c r="J66" s="2">
        <v>10.83547165315761</v>
      </c>
      <c r="K66" s="2">
        <v>0.53717454623863814</v>
      </c>
      <c r="L66" s="2">
        <v>36.944036535855446</v>
      </c>
      <c r="M66" s="2">
        <v>45.191356292912673</v>
      </c>
      <c r="N66" s="2">
        <v>1546.1841423159574</v>
      </c>
      <c r="O66" s="2">
        <v>1362</v>
      </c>
      <c r="P66" s="2">
        <v>2011</v>
      </c>
      <c r="Q66" s="4" t="s">
        <v>22</v>
      </c>
      <c r="R66" s="2">
        <v>45586.992999999202</v>
      </c>
      <c r="S66" s="2">
        <v>34708047.516795263</v>
      </c>
      <c r="T66" s="2">
        <v>300065</v>
      </c>
      <c r="U66" s="2">
        <v>100038</v>
      </c>
      <c r="V66" s="3"/>
    </row>
    <row r="67" spans="1:22" x14ac:dyDescent="0.25">
      <c r="A67" s="2">
        <v>66</v>
      </c>
      <c r="B67" s="3"/>
      <c r="C67" s="2">
        <v>66</v>
      </c>
      <c r="D67" s="2">
        <v>66</v>
      </c>
      <c r="E67" s="2">
        <v>11.612921007018732</v>
      </c>
      <c r="F67" s="2">
        <v>13.680076599121094</v>
      </c>
      <c r="G67" s="2">
        <v>5549.495010405356</v>
      </c>
      <c r="H67" s="2">
        <v>24.3828101188662</v>
      </c>
      <c r="I67" s="2">
        <v>6.5231160550869323</v>
      </c>
      <c r="J67" s="2">
        <v>5.6176489116214832</v>
      </c>
      <c r="K67" s="2">
        <v>0.34667293800582438</v>
      </c>
      <c r="L67" s="2">
        <v>36.924309210906813</v>
      </c>
      <c r="M67" s="2">
        <v>45.319132380464282</v>
      </c>
      <c r="N67" s="2">
        <v>1418.2268423492021</v>
      </c>
      <c r="O67" s="2">
        <v>1349</v>
      </c>
      <c r="P67" s="2">
        <v>1716</v>
      </c>
      <c r="Q67" s="4" t="s">
        <v>22</v>
      </c>
      <c r="R67" s="2">
        <v>21462.489200000884</v>
      </c>
      <c r="S67" s="2">
        <v>11612921.007018732</v>
      </c>
      <c r="T67" s="2">
        <v>300066</v>
      </c>
      <c r="U67" s="2">
        <v>100071</v>
      </c>
      <c r="V67" s="3"/>
    </row>
    <row r="68" spans="1:22" x14ac:dyDescent="0.25">
      <c r="A68" s="2">
        <v>67</v>
      </c>
      <c r="B68" s="3"/>
      <c r="C68" s="2">
        <v>67</v>
      </c>
      <c r="D68" s="2">
        <v>67</v>
      </c>
      <c r="E68" s="2">
        <v>15.864251281080451</v>
      </c>
      <c r="F68" s="2">
        <v>19.417415618896484</v>
      </c>
      <c r="G68" s="2">
        <v>9821.6399725922074</v>
      </c>
      <c r="H68" s="2">
        <v>18.287107589149649</v>
      </c>
      <c r="I68" s="2">
        <v>5.6915138567481431</v>
      </c>
      <c r="J68" s="2">
        <v>6.7739417604889427</v>
      </c>
      <c r="K68" s="2">
        <v>0.39274546990571729</v>
      </c>
      <c r="L68" s="2">
        <v>36.931833360477114</v>
      </c>
      <c r="M68" s="2">
        <v>45.359865418687455</v>
      </c>
      <c r="N68" s="2">
        <v>1412.8218786351299</v>
      </c>
      <c r="O68" s="2">
        <v>1303</v>
      </c>
      <c r="P68" s="2">
        <v>1916</v>
      </c>
      <c r="Q68" s="4" t="s">
        <v>22</v>
      </c>
      <c r="R68" s="2">
        <v>32387.839600001462</v>
      </c>
      <c r="S68" s="2">
        <v>15864251.281080451</v>
      </c>
      <c r="T68" s="2">
        <v>300067</v>
      </c>
      <c r="U68" s="2">
        <v>100050</v>
      </c>
      <c r="V68" s="3"/>
    </row>
    <row r="69" spans="1:22" x14ac:dyDescent="0.25">
      <c r="A69" s="2">
        <v>68</v>
      </c>
      <c r="B69" s="3"/>
      <c r="C69" s="2">
        <v>68</v>
      </c>
      <c r="D69" s="2">
        <v>68</v>
      </c>
      <c r="E69" s="2">
        <v>24.931295170436616</v>
      </c>
      <c r="F69" s="2">
        <v>22.535991668701172</v>
      </c>
      <c r="G69" s="2">
        <v>11664.414939330218</v>
      </c>
      <c r="H69" s="2">
        <v>15.239256324291373</v>
      </c>
      <c r="I69" s="2">
        <v>5.3667500963914225</v>
      </c>
      <c r="J69" s="2">
        <v>8.8845741152745727</v>
      </c>
      <c r="K69" s="2">
        <v>0.47058847681783461</v>
      </c>
      <c r="L69" s="2">
        <v>36.91712220268267</v>
      </c>
      <c r="M69" s="2">
        <v>45.254165392267836</v>
      </c>
      <c r="N69" s="2">
        <v>1635.7915433012583</v>
      </c>
      <c r="O69" s="2">
        <v>1392</v>
      </c>
      <c r="P69" s="2">
        <v>2044</v>
      </c>
      <c r="Q69" s="4" t="s">
        <v>22</v>
      </c>
      <c r="R69" s="2">
        <v>36380.860000001499</v>
      </c>
      <c r="S69" s="2">
        <v>24931295.170436617</v>
      </c>
      <c r="T69" s="2">
        <v>300068</v>
      </c>
      <c r="U69" s="2">
        <v>100069</v>
      </c>
      <c r="V69" s="3"/>
    </row>
    <row r="70" spans="1:22" x14ac:dyDescent="0.25">
      <c r="A70" s="2">
        <v>69</v>
      </c>
      <c r="B70" s="3"/>
      <c r="C70" s="2">
        <v>69</v>
      </c>
      <c r="D70" s="2">
        <v>69</v>
      </c>
      <c r="E70" s="2">
        <v>13.028493303490727</v>
      </c>
      <c r="F70" s="2">
        <v>29.170434951782227</v>
      </c>
      <c r="G70" s="2">
        <v>11493.928676148204</v>
      </c>
      <c r="H70" s="2">
        <v>15.239256324291373</v>
      </c>
      <c r="I70" s="2">
        <v>7.9346237974536091</v>
      </c>
      <c r="J70" s="2">
        <v>6.0190261029342933</v>
      </c>
      <c r="K70" s="2">
        <v>0.36299532343451046</v>
      </c>
      <c r="L70" s="2">
        <v>36.883821861599372</v>
      </c>
      <c r="M70" s="2">
        <v>45.445008063793303</v>
      </c>
      <c r="N70" s="2">
        <v>1598.7777384324834</v>
      </c>
      <c r="O70" s="2">
        <v>1299</v>
      </c>
      <c r="P70" s="2">
        <v>2218</v>
      </c>
      <c r="Q70" s="4" t="s">
        <v>22</v>
      </c>
      <c r="R70" s="2">
        <v>29282.154799999204</v>
      </c>
      <c r="S70" s="2">
        <v>13028493.303490726</v>
      </c>
      <c r="T70" s="2">
        <v>300069</v>
      </c>
      <c r="U70" s="2">
        <v>100068</v>
      </c>
      <c r="V70" s="3"/>
    </row>
    <row r="71" spans="1:22" x14ac:dyDescent="0.25">
      <c r="A71" s="2">
        <v>70</v>
      </c>
      <c r="B71" s="3"/>
      <c r="C71" s="2">
        <v>70</v>
      </c>
      <c r="D71" s="2">
        <v>70</v>
      </c>
      <c r="E71" s="2">
        <v>27.972353453774382</v>
      </c>
      <c r="F71" s="2">
        <v>26.801630020141602</v>
      </c>
      <c r="G71" s="2">
        <v>15811.031739219787</v>
      </c>
      <c r="H71" s="2">
        <v>15.239256324291373</v>
      </c>
      <c r="I71" s="2">
        <v>5.1419794318882222</v>
      </c>
      <c r="J71" s="2">
        <v>9.5197844412558243</v>
      </c>
      <c r="K71" s="2">
        <v>0.49275944252148896</v>
      </c>
      <c r="L71" s="2">
        <v>36.891200151038795</v>
      </c>
      <c r="M71" s="2">
        <v>45.479396839816516</v>
      </c>
      <c r="N71" s="2">
        <v>1607.5715385249732</v>
      </c>
      <c r="O71" s="2">
        <v>1282</v>
      </c>
      <c r="P71" s="2">
        <v>2276</v>
      </c>
      <c r="Q71" s="4" t="s">
        <v>22</v>
      </c>
      <c r="R71" s="2">
        <v>44533.279200002318</v>
      </c>
      <c r="S71" s="2">
        <v>27972353.453774381</v>
      </c>
      <c r="T71" s="2">
        <v>300070</v>
      </c>
      <c r="U71" s="2">
        <v>100060</v>
      </c>
      <c r="V71" s="3"/>
    </row>
    <row r="72" spans="1:22" x14ac:dyDescent="0.25">
      <c r="A72" s="2">
        <v>71</v>
      </c>
      <c r="B72" s="3"/>
      <c r="C72" s="2">
        <v>71</v>
      </c>
      <c r="D72" s="2">
        <v>71</v>
      </c>
      <c r="E72" s="2">
        <v>20.827596615733906</v>
      </c>
      <c r="F72" s="2">
        <v>28.222139358520508</v>
      </c>
      <c r="G72" s="2">
        <v>13749.856415925471</v>
      </c>
      <c r="H72" s="2">
        <v>15.239256324291373</v>
      </c>
      <c r="I72" s="2">
        <v>4.363681931289574</v>
      </c>
      <c r="J72" s="2">
        <v>7.9757807135840073</v>
      </c>
      <c r="K72" s="2">
        <v>0.43792427072497236</v>
      </c>
      <c r="L72" s="2">
        <v>36.891056284577672</v>
      </c>
      <c r="M72" s="2">
        <v>45.258131750009461</v>
      </c>
      <c r="N72" s="2">
        <v>1691.7437885332447</v>
      </c>
      <c r="O72" s="2">
        <v>1392</v>
      </c>
      <c r="P72" s="2">
        <v>2025</v>
      </c>
      <c r="Q72" s="4" t="s">
        <v>22</v>
      </c>
      <c r="R72" s="2">
        <v>35826.273000000278</v>
      </c>
      <c r="S72" s="2">
        <v>20827596.615733907</v>
      </c>
      <c r="T72" s="2">
        <v>300071</v>
      </c>
      <c r="U72" s="2">
        <v>100070</v>
      </c>
      <c r="V72" s="3"/>
    </row>
    <row r="73" spans="1:22" x14ac:dyDescent="0.25">
      <c r="A73" s="2">
        <v>72</v>
      </c>
      <c r="B73" s="3"/>
      <c r="C73" s="2">
        <v>72</v>
      </c>
      <c r="D73" s="2">
        <v>72</v>
      </c>
      <c r="E73" s="2">
        <v>17.501270904253911</v>
      </c>
      <c r="F73" s="2">
        <v>26.52415657043457</v>
      </c>
      <c r="G73" s="2">
        <v>11998.799256525555</v>
      </c>
      <c r="H73" s="2">
        <v>15.239256324291373</v>
      </c>
      <c r="I73" s="2">
        <v>6.7340071512619781</v>
      </c>
      <c r="J73" s="2">
        <v>7.18507759610723</v>
      </c>
      <c r="K73" s="2">
        <v>0.4084803666189355</v>
      </c>
      <c r="L73" s="2">
        <v>36.885759373739837</v>
      </c>
      <c r="M73" s="2">
        <v>45.413532102266167</v>
      </c>
      <c r="N73" s="2">
        <v>1658.0420016695225</v>
      </c>
      <c r="O73" s="2">
        <v>1299</v>
      </c>
      <c r="P73" s="2">
        <v>2115</v>
      </c>
      <c r="Q73" s="4" t="s">
        <v>22</v>
      </c>
      <c r="R73" s="2">
        <v>33829.763400000287</v>
      </c>
      <c r="S73" s="2">
        <v>17501270.904253911</v>
      </c>
      <c r="T73" s="2">
        <v>300072</v>
      </c>
      <c r="U73" s="2">
        <v>100065</v>
      </c>
      <c r="V73" s="3"/>
    </row>
    <row r="74" spans="1:22" x14ac:dyDescent="0.25">
      <c r="A74" s="2">
        <v>73</v>
      </c>
      <c r="B74" s="3"/>
      <c r="C74" s="2">
        <v>73</v>
      </c>
      <c r="D74" s="2">
        <v>73</v>
      </c>
      <c r="E74" s="2">
        <v>8.6295314903103897</v>
      </c>
      <c r="F74" s="2">
        <v>15.829401016235352</v>
      </c>
      <c r="G74" s="2">
        <v>11450.772180913689</v>
      </c>
      <c r="H74" s="2">
        <v>24.3828101188662</v>
      </c>
      <c r="I74" s="2">
        <v>4.8031695270014003</v>
      </c>
      <c r="J74" s="2">
        <v>4.7009111303583513</v>
      </c>
      <c r="K74" s="2">
        <v>0.30784934894413424</v>
      </c>
      <c r="L74" s="2">
        <v>36.893408735577296</v>
      </c>
      <c r="M74" s="2">
        <v>45.553814033113468</v>
      </c>
      <c r="N74" s="2">
        <v>1405.4922926133831</v>
      </c>
      <c r="O74" s="2">
        <v>1277</v>
      </c>
      <c r="P74" s="2">
        <v>1843</v>
      </c>
      <c r="Q74" s="4" t="s">
        <v>22</v>
      </c>
      <c r="R74" s="2">
        <v>39320.167799996212</v>
      </c>
      <c r="S74" s="2">
        <v>8629531.4903103895</v>
      </c>
      <c r="T74" s="2">
        <v>300073</v>
      </c>
      <c r="U74" s="2">
        <v>100056</v>
      </c>
      <c r="V74" s="3"/>
    </row>
    <row r="75" spans="1:22" x14ac:dyDescent="0.25">
      <c r="A75" s="2">
        <v>74</v>
      </c>
      <c r="B75" s="3"/>
      <c r="C75" s="2">
        <v>74</v>
      </c>
      <c r="D75" s="2">
        <v>74</v>
      </c>
      <c r="E75" s="2">
        <v>21.331235850136185</v>
      </c>
      <c r="F75" s="2">
        <v>35.692375183105469</v>
      </c>
      <c r="G75" s="2">
        <v>9855.928490331944</v>
      </c>
      <c r="H75" s="2">
        <v>15.239256324291373</v>
      </c>
      <c r="I75" s="2">
        <v>6.6051615597514806</v>
      </c>
      <c r="J75" s="2">
        <v>8.090946338624482</v>
      </c>
      <c r="K75" s="2">
        <v>0.44212977102453449</v>
      </c>
      <c r="L75" s="2">
        <v>36.892987602227961</v>
      </c>
      <c r="M75" s="2">
        <v>45.324525577489204</v>
      </c>
      <c r="N75" s="2">
        <v>1661.7280657486842</v>
      </c>
      <c r="O75" s="2">
        <v>1349</v>
      </c>
      <c r="P75" s="2">
        <v>2100</v>
      </c>
      <c r="Q75" s="4" t="s">
        <v>22</v>
      </c>
      <c r="R75" s="2">
        <v>38987.414800000843</v>
      </c>
      <c r="S75" s="2">
        <v>21331235.850136183</v>
      </c>
      <c r="T75" s="2">
        <v>300074</v>
      </c>
      <c r="U75" s="2">
        <v>100072</v>
      </c>
      <c r="V75" s="3"/>
    </row>
    <row r="76" spans="1:22" x14ac:dyDescent="0.25">
      <c r="A76" s="2">
        <v>75</v>
      </c>
      <c r="B76" s="3"/>
      <c r="C76" s="2">
        <v>75</v>
      </c>
      <c r="D76" s="2">
        <v>75</v>
      </c>
      <c r="E76" s="2">
        <v>15.688169743590567</v>
      </c>
      <c r="F76" s="2">
        <v>18.739801406860352</v>
      </c>
      <c r="G76" s="2">
        <v>8167.058218661221</v>
      </c>
      <c r="H76" s="2">
        <v>18.287107589149649</v>
      </c>
      <c r="I76" s="2">
        <v>5.3262752432210165</v>
      </c>
      <c r="J76" s="2">
        <v>6.7287296304902071</v>
      </c>
      <c r="K76" s="2">
        <v>0.39099595473097781</v>
      </c>
      <c r="L76" s="2">
        <v>36.879262944465211</v>
      </c>
      <c r="M76" s="2">
        <v>45.60332586221395</v>
      </c>
      <c r="N76" s="2">
        <v>1484.3188256628928</v>
      </c>
      <c r="O76" s="2">
        <v>1336</v>
      </c>
      <c r="P76" s="2">
        <v>1803</v>
      </c>
      <c r="Q76" s="4" t="s">
        <v>22</v>
      </c>
      <c r="R76" s="2">
        <v>27840.230199999409</v>
      </c>
      <c r="S76" s="2">
        <v>15688169.743590567</v>
      </c>
      <c r="T76" s="2">
        <v>300075</v>
      </c>
      <c r="U76" s="2">
        <v>100073</v>
      </c>
      <c r="V76" s="3"/>
    </row>
    <row r="77" spans="1:22" x14ac:dyDescent="0.25">
      <c r="A77" s="2">
        <v>76</v>
      </c>
      <c r="B77" s="3"/>
      <c r="C77" s="2">
        <v>76</v>
      </c>
      <c r="D77" s="2">
        <v>76</v>
      </c>
      <c r="E77" s="2">
        <v>10.442632609380359</v>
      </c>
      <c r="F77" s="2">
        <v>18.654802322387695</v>
      </c>
      <c r="G77" s="2">
        <v>7416.2270237944804</v>
      </c>
      <c r="H77" s="2">
        <v>18.287107589149649</v>
      </c>
      <c r="I77" s="2">
        <v>7.6319130763395719</v>
      </c>
      <c r="J77" s="2">
        <v>5.2707899563628322</v>
      </c>
      <c r="K77" s="2">
        <v>0.33225180724172548</v>
      </c>
      <c r="L77" s="2">
        <v>36.878834340616002</v>
      </c>
      <c r="M77" s="2">
        <v>45.559719935121834</v>
      </c>
      <c r="N77" s="2">
        <v>1474.961858478757</v>
      </c>
      <c r="O77" s="2">
        <v>1335</v>
      </c>
      <c r="P77" s="2">
        <v>1908</v>
      </c>
      <c r="Q77" s="4" t="s">
        <v>22</v>
      </c>
      <c r="R77" s="2">
        <v>25011.841799998656</v>
      </c>
      <c r="S77" s="2">
        <v>10442632.609380359</v>
      </c>
      <c r="T77" s="2">
        <v>300076</v>
      </c>
      <c r="U77" s="2">
        <v>100074</v>
      </c>
      <c r="V77" s="3"/>
    </row>
    <row r="78" spans="1:22" x14ac:dyDescent="0.25">
      <c r="A78" s="2">
        <v>77</v>
      </c>
      <c r="B78" s="3"/>
      <c r="C78" s="2">
        <v>77</v>
      </c>
      <c r="D78" s="2">
        <v>77</v>
      </c>
      <c r="E78" s="2">
        <v>10.207344690619314</v>
      </c>
      <c r="F78" s="2">
        <v>27.418787002563477</v>
      </c>
      <c r="G78" s="2">
        <v>8458.6241527193724</v>
      </c>
      <c r="H78" s="2">
        <v>15.239256324291373</v>
      </c>
      <c r="I78" s="2">
        <v>8.8903347213771013</v>
      </c>
      <c r="J78" s="2">
        <v>5.1992102325543348</v>
      </c>
      <c r="K78" s="2">
        <v>0.32923687022670706</v>
      </c>
      <c r="L78" s="2">
        <v>36.842882264083222</v>
      </c>
      <c r="M78" s="2">
        <v>45.619164955434343</v>
      </c>
      <c r="N78" s="2">
        <v>1711.4467043314501</v>
      </c>
      <c r="O78" s="2">
        <v>1439</v>
      </c>
      <c r="P78" s="2">
        <v>2197</v>
      </c>
      <c r="Q78" s="4" t="s">
        <v>22</v>
      </c>
      <c r="R78" s="2">
        <v>21684.323999999557</v>
      </c>
      <c r="S78" s="2">
        <v>10207344.690619314</v>
      </c>
      <c r="T78" s="2">
        <v>300077</v>
      </c>
      <c r="U78" s="2">
        <v>100078</v>
      </c>
      <c r="V78" s="3"/>
    </row>
    <row r="79" spans="1:22" x14ac:dyDescent="0.25">
      <c r="A79" s="2">
        <v>78</v>
      </c>
      <c r="B79" s="3"/>
      <c r="C79" s="2">
        <v>78</v>
      </c>
      <c r="D79" s="2">
        <v>78</v>
      </c>
      <c r="E79" s="2">
        <v>18.355535313383537</v>
      </c>
      <c r="F79" s="2">
        <v>30.204143524169922</v>
      </c>
      <c r="G79" s="2">
        <v>8782.8460549241208</v>
      </c>
      <c r="H79" s="2">
        <v>15.239256324291373</v>
      </c>
      <c r="I79" s="2">
        <v>6.1369628549712365</v>
      </c>
      <c r="J79" s="2">
        <v>7.3934977163193221</v>
      </c>
      <c r="K79" s="2">
        <v>0.41634195209934272</v>
      </c>
      <c r="L79" s="2">
        <v>36.861062722494907</v>
      </c>
      <c r="M79" s="2">
        <v>45.282526177545599</v>
      </c>
      <c r="N79" s="2">
        <v>1759.7864024798928</v>
      </c>
      <c r="O79" s="2">
        <v>1414</v>
      </c>
      <c r="P79" s="2">
        <v>2085</v>
      </c>
      <c r="Q79" s="4" t="s">
        <v>22</v>
      </c>
      <c r="R79" s="2">
        <v>25566.427400000393</v>
      </c>
      <c r="S79" s="2">
        <v>18355535.313383538</v>
      </c>
      <c r="T79" s="2">
        <v>300078</v>
      </c>
      <c r="U79" s="2">
        <v>100075</v>
      </c>
      <c r="V79" s="3"/>
    </row>
    <row r="80" spans="1:22" x14ac:dyDescent="0.25">
      <c r="A80" s="2">
        <v>79</v>
      </c>
      <c r="B80" s="3"/>
      <c r="C80" s="2">
        <v>79</v>
      </c>
      <c r="D80" s="2">
        <v>79</v>
      </c>
      <c r="E80" s="2">
        <v>16.28869221843394</v>
      </c>
      <c r="F80" s="2">
        <v>23.062301635742188</v>
      </c>
      <c r="G80" s="2">
        <v>8853.562808081766</v>
      </c>
      <c r="H80" s="2">
        <v>15.239256324291373</v>
      </c>
      <c r="I80" s="2">
        <v>7.9741909026222135</v>
      </c>
      <c r="J80" s="2">
        <v>6.8821073179389076</v>
      </c>
      <c r="K80" s="2">
        <v>0.39691529917168605</v>
      </c>
      <c r="L80" s="2">
        <v>36.849527463997859</v>
      </c>
      <c r="M80" s="2">
        <v>45.646851541332879</v>
      </c>
      <c r="N80" s="2">
        <v>1667.2834686555891</v>
      </c>
      <c r="O80" s="2">
        <v>1443</v>
      </c>
      <c r="P80" s="2">
        <v>2192</v>
      </c>
      <c r="Q80" s="4" t="s">
        <v>22</v>
      </c>
      <c r="R80" s="2">
        <v>27119.268800000194</v>
      </c>
      <c r="S80" s="2">
        <v>16288692.218433939</v>
      </c>
      <c r="T80" s="2">
        <v>300079</v>
      </c>
      <c r="U80" s="2">
        <v>100077</v>
      </c>
      <c r="V80" s="3"/>
    </row>
    <row r="81" spans="1:22" x14ac:dyDescent="0.25">
      <c r="A81" s="2">
        <v>80</v>
      </c>
      <c r="B81" s="3"/>
      <c r="C81" s="2">
        <v>80</v>
      </c>
      <c r="D81" s="2">
        <v>80</v>
      </c>
      <c r="E81" s="2">
        <v>7.8460071708561214</v>
      </c>
      <c r="F81" s="2">
        <v>23.325796127319336</v>
      </c>
      <c r="G81" s="2">
        <v>4893.5066714001159</v>
      </c>
      <c r="H81" s="2">
        <v>15.239256324291373</v>
      </c>
      <c r="I81" s="2">
        <v>7.9697449332058303</v>
      </c>
      <c r="J81" s="2">
        <v>4.4399587036275134</v>
      </c>
      <c r="K81" s="2">
        <v>0.29634856771923646</v>
      </c>
      <c r="L81" s="2">
        <v>36.858345851296505</v>
      </c>
      <c r="M81" s="2">
        <v>45.570543570642307</v>
      </c>
      <c r="N81" s="2">
        <v>1485.4478635829087</v>
      </c>
      <c r="O81" s="2">
        <v>1363</v>
      </c>
      <c r="P81" s="2">
        <v>1774</v>
      </c>
      <c r="Q81" s="4" t="s">
        <v>22</v>
      </c>
      <c r="R81" s="2">
        <v>15694.791999997571</v>
      </c>
      <c r="S81" s="2">
        <v>7846007.170856121</v>
      </c>
      <c r="T81" s="2">
        <v>300080</v>
      </c>
      <c r="U81" s="2">
        <v>100080</v>
      </c>
      <c r="V81" s="3"/>
    </row>
    <row r="82" spans="1:22" x14ac:dyDescent="0.25">
      <c r="A82" s="2">
        <v>81</v>
      </c>
      <c r="B82" s="3"/>
      <c r="C82" s="2">
        <v>81</v>
      </c>
      <c r="D82" s="2">
        <v>81</v>
      </c>
      <c r="E82" s="2">
        <v>16.236405980681187</v>
      </c>
      <c r="F82" s="2">
        <v>30.461931228637695</v>
      </c>
      <c r="G82" s="2">
        <v>10435.288091158935</v>
      </c>
      <c r="H82" s="2">
        <v>15.239256324291373</v>
      </c>
      <c r="I82" s="2">
        <v>6.516351001139248</v>
      </c>
      <c r="J82" s="2">
        <v>6.8688439746476346</v>
      </c>
      <c r="K82" s="2">
        <v>0.39640517283694959</v>
      </c>
      <c r="L82" s="2">
        <v>36.820625177862482</v>
      </c>
      <c r="M82" s="2">
        <v>45.59992221327748</v>
      </c>
      <c r="N82" s="2">
        <v>1773.9960693313128</v>
      </c>
      <c r="O82" s="2">
        <v>1401</v>
      </c>
      <c r="P82" s="2">
        <v>2183</v>
      </c>
      <c r="Q82" s="4" t="s">
        <v>22</v>
      </c>
      <c r="R82" s="2">
        <v>31389.583999998635</v>
      </c>
      <c r="S82" s="2">
        <v>16236405.980681188</v>
      </c>
      <c r="T82" s="2">
        <v>300081</v>
      </c>
      <c r="U82" s="2">
        <v>100081</v>
      </c>
      <c r="V82" s="3"/>
    </row>
    <row r="83" spans="1:22" x14ac:dyDescent="0.25">
      <c r="A83" s="2">
        <v>82</v>
      </c>
      <c r="B83" s="3"/>
      <c r="C83" s="2">
        <v>82</v>
      </c>
      <c r="D83" s="2">
        <v>82</v>
      </c>
      <c r="E83" s="2">
        <v>6.8610273073789623</v>
      </c>
      <c r="F83" s="2">
        <v>24.392026901245117</v>
      </c>
      <c r="G83" s="2">
        <v>4776.8464865731776</v>
      </c>
      <c r="H83" s="2">
        <v>15.239256324291373</v>
      </c>
      <c r="I83" s="2">
        <v>5.7150674774111323</v>
      </c>
      <c r="J83" s="2">
        <v>4.0965965886071025</v>
      </c>
      <c r="K83" s="2">
        <v>0.28086589796206157</v>
      </c>
      <c r="L83" s="2">
        <v>36.834825623168776</v>
      </c>
      <c r="M83" s="2">
        <v>45.564742789595918</v>
      </c>
      <c r="N83" s="2">
        <v>1547.346408158691</v>
      </c>
      <c r="O83" s="2">
        <v>1401</v>
      </c>
      <c r="P83" s="2">
        <v>1848</v>
      </c>
      <c r="Q83" s="4" t="s">
        <v>22</v>
      </c>
      <c r="R83" s="2">
        <v>16526.671999999322</v>
      </c>
      <c r="S83" s="2">
        <v>6861027.3073789626</v>
      </c>
      <c r="T83" s="2">
        <v>300082</v>
      </c>
      <c r="U83" s="2">
        <v>100082</v>
      </c>
      <c r="V83" s="3"/>
    </row>
    <row r="84" spans="1:22" x14ac:dyDescent="0.25">
      <c r="A84" s="2">
        <v>83</v>
      </c>
      <c r="B84" s="3"/>
      <c r="C84" s="2">
        <v>83</v>
      </c>
      <c r="D84" s="2">
        <v>83</v>
      </c>
      <c r="E84" s="2">
        <v>46.553181005322173</v>
      </c>
      <c r="F84" s="2">
        <v>25.765380859375</v>
      </c>
      <c r="G84" s="2">
        <v>17048.688452808161</v>
      </c>
      <c r="H84" s="2">
        <v>15.239256324291373</v>
      </c>
      <c r="I84" s="2">
        <v>3.3023068112155327</v>
      </c>
      <c r="J84" s="2">
        <v>12.922880473221774</v>
      </c>
      <c r="K84" s="2">
        <v>0.60411983773817202</v>
      </c>
      <c r="L84" s="2">
        <v>36.85401769928707</v>
      </c>
      <c r="M84" s="2">
        <v>45.371317300420785</v>
      </c>
      <c r="N84" s="2">
        <v>1694.524213794926</v>
      </c>
      <c r="O84" s="2">
        <v>1410</v>
      </c>
      <c r="P84" s="2">
        <v>2118</v>
      </c>
      <c r="Q84" s="4" t="s">
        <v>22</v>
      </c>
      <c r="R84" s="2">
        <v>44145.068800001405</v>
      </c>
      <c r="S84" s="2">
        <v>46553181.005322173</v>
      </c>
      <c r="T84" s="2">
        <v>300083</v>
      </c>
      <c r="U84" s="2">
        <v>100076</v>
      </c>
      <c r="V84" s="3"/>
    </row>
    <row r="85" spans="1:22" x14ac:dyDescent="0.25">
      <c r="A85" s="2">
        <v>84</v>
      </c>
      <c r="B85" s="3"/>
      <c r="C85" s="2">
        <v>84</v>
      </c>
      <c r="D85" s="2">
        <v>84</v>
      </c>
      <c r="E85" s="2">
        <v>18.311707194272476</v>
      </c>
      <c r="F85" s="2">
        <v>17.896816253662109</v>
      </c>
      <c r="G85" s="2">
        <v>9424.5615995455482</v>
      </c>
      <c r="H85" s="2">
        <v>18.287107589149649</v>
      </c>
      <c r="I85" s="2">
        <v>7.512285770768794</v>
      </c>
      <c r="J85" s="2">
        <v>7.3829004328932841</v>
      </c>
      <c r="K85" s="2">
        <v>0.41594402151188836</v>
      </c>
      <c r="L85" s="2">
        <v>36.835395532554763</v>
      </c>
      <c r="M85" s="2">
        <v>45.439904028073151</v>
      </c>
      <c r="N85" s="2">
        <v>1782.3102246483309</v>
      </c>
      <c r="O85" s="2">
        <v>1572</v>
      </c>
      <c r="P85" s="2">
        <v>2282</v>
      </c>
      <c r="Q85" s="4" t="s">
        <v>22</v>
      </c>
      <c r="R85" s="2">
        <v>27729.314000000944</v>
      </c>
      <c r="S85" s="2">
        <v>18311707.194272477</v>
      </c>
      <c r="T85" s="2">
        <v>300084</v>
      </c>
      <c r="U85" s="2">
        <v>100085</v>
      </c>
      <c r="V85" s="3"/>
    </row>
    <row r="86" spans="1:22" x14ac:dyDescent="0.25">
      <c r="A86" s="2">
        <v>85</v>
      </c>
      <c r="B86" s="3"/>
      <c r="C86" s="2">
        <v>85</v>
      </c>
      <c r="D86" s="2">
        <v>85</v>
      </c>
      <c r="E86" s="2">
        <v>12.516395917171403</v>
      </c>
      <c r="F86" s="2">
        <v>24.478658676147461</v>
      </c>
      <c r="G86" s="2">
        <v>8003.3002152501631</v>
      </c>
      <c r="H86" s="2">
        <v>15.239256324291373</v>
      </c>
      <c r="I86" s="2">
        <v>10.62061870902129</v>
      </c>
      <c r="J86" s="2">
        <v>5.8759390954341368</v>
      </c>
      <c r="K86" s="2">
        <v>0.35721942675353108</v>
      </c>
      <c r="L86" s="2">
        <v>36.810464003988486</v>
      </c>
      <c r="M86" s="2">
        <v>45.532778037298677</v>
      </c>
      <c r="N86" s="2">
        <v>1728.66027767539</v>
      </c>
      <c r="O86" s="2">
        <v>1432</v>
      </c>
      <c r="P86" s="2">
        <v>2316</v>
      </c>
      <c r="Q86" s="4" t="s">
        <v>22</v>
      </c>
      <c r="R86" s="2">
        <v>22127.992999996291</v>
      </c>
      <c r="S86" s="2">
        <v>12516395.917171404</v>
      </c>
      <c r="T86" s="2">
        <v>300085</v>
      </c>
      <c r="U86" s="2">
        <v>100083</v>
      </c>
      <c r="V86" s="3"/>
    </row>
    <row r="87" spans="1:22" x14ac:dyDescent="0.25">
      <c r="A87" s="2">
        <v>86</v>
      </c>
      <c r="B87" s="3"/>
      <c r="C87" s="2">
        <v>86</v>
      </c>
      <c r="D87" s="2">
        <v>86</v>
      </c>
      <c r="E87" s="2">
        <v>54.039335891090246</v>
      </c>
      <c r="F87" s="2">
        <v>28.258956909179688</v>
      </c>
      <c r="G87" s="2">
        <v>18132.749577972139</v>
      </c>
      <c r="H87" s="2">
        <v>15.239256324291373</v>
      </c>
      <c r="I87" s="2">
        <v>5.377011334146701</v>
      </c>
      <c r="J87" s="2">
        <v>14.132393202375045</v>
      </c>
      <c r="K87" s="2">
        <v>0.64124996376500742</v>
      </c>
      <c r="L87" s="2">
        <v>36.833798079662003</v>
      </c>
      <c r="M87" s="2">
        <v>45.505049039744655</v>
      </c>
      <c r="N87" s="2">
        <v>1733.8466420034149</v>
      </c>
      <c r="O87" s="2">
        <v>1361</v>
      </c>
      <c r="P87" s="2">
        <v>2343</v>
      </c>
      <c r="Q87" s="4" t="s">
        <v>22</v>
      </c>
      <c r="R87" s="2">
        <v>50356.435599997872</v>
      </c>
      <c r="S87" s="2">
        <v>54039335.891090244</v>
      </c>
      <c r="T87" s="2">
        <v>300086</v>
      </c>
      <c r="U87" s="2">
        <v>100079</v>
      </c>
      <c r="V87" s="3"/>
    </row>
    <row r="88" spans="1:22" x14ac:dyDescent="0.25">
      <c r="A88" s="2">
        <v>87</v>
      </c>
      <c r="B88" s="3"/>
      <c r="C88" s="2">
        <v>87</v>
      </c>
      <c r="D88" s="2">
        <v>87</v>
      </c>
      <c r="E88" s="2">
        <v>43.41677718214666</v>
      </c>
      <c r="F88" s="2">
        <v>20.805511474609375</v>
      </c>
      <c r="G88" s="2">
        <v>16677.607813373623</v>
      </c>
      <c r="H88" s="2">
        <v>15.239256324291373</v>
      </c>
      <c r="I88" s="2">
        <v>4.5090399559400716</v>
      </c>
      <c r="J88" s="2">
        <v>12.393222874560628</v>
      </c>
      <c r="K88" s="2">
        <v>0.58749799040502826</v>
      </c>
      <c r="L88" s="2">
        <v>36.792355731345303</v>
      </c>
      <c r="M88" s="2">
        <v>45.444886359786182</v>
      </c>
      <c r="N88" s="2">
        <v>1819.823731515098</v>
      </c>
      <c r="O88" s="2">
        <v>1572</v>
      </c>
      <c r="P88" s="2">
        <v>2359</v>
      </c>
      <c r="Q88" s="4" t="s">
        <v>22</v>
      </c>
      <c r="R88" s="2">
        <v>48193.548000003677</v>
      </c>
      <c r="S88" s="2">
        <v>43416777.182146661</v>
      </c>
      <c r="T88" s="2">
        <v>300087</v>
      </c>
      <c r="U88" s="2">
        <v>100086</v>
      </c>
      <c r="V88" s="3"/>
    </row>
    <row r="89" spans="1:22" x14ac:dyDescent="0.25">
      <c r="A89" s="2">
        <v>88</v>
      </c>
      <c r="B89" s="3"/>
      <c r="C89" s="2">
        <v>88</v>
      </c>
      <c r="D89" s="2">
        <v>88</v>
      </c>
      <c r="E89" s="2">
        <v>45.913443732235159</v>
      </c>
      <c r="F89" s="2">
        <v>28.803316116333008</v>
      </c>
      <c r="G89" s="2">
        <v>11690.820810373321</v>
      </c>
      <c r="H89" s="2">
        <v>15.239256324291373</v>
      </c>
      <c r="I89" s="2">
        <v>7.5101655755509169</v>
      </c>
      <c r="J89" s="2">
        <v>12.816033419285111</v>
      </c>
      <c r="K89" s="2">
        <v>0.60078530244074002</v>
      </c>
      <c r="L89" s="2">
        <v>36.783341281226811</v>
      </c>
      <c r="M89" s="2">
        <v>45.561748133437995</v>
      </c>
      <c r="N89" s="2">
        <v>1792.9458567792069</v>
      </c>
      <c r="O89" s="2">
        <v>1432</v>
      </c>
      <c r="P89" s="2">
        <v>2342</v>
      </c>
      <c r="Q89" s="4" t="s">
        <v>22</v>
      </c>
      <c r="R89" s="2">
        <v>40152.047599998536</v>
      </c>
      <c r="S89" s="2">
        <v>45913443.732235156</v>
      </c>
      <c r="T89" s="2">
        <v>300088</v>
      </c>
      <c r="U89" s="2">
        <v>100084</v>
      </c>
      <c r="V8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7985-432D-4436-8DD0-31BAAB6072F4}">
  <dimension ref="A1:S89"/>
  <sheetViews>
    <sheetView tabSelected="1" workbookViewId="0">
      <selection activeCell="O1" sqref="O1:S1048576"/>
    </sheetView>
  </sheetViews>
  <sheetFormatPr defaultRowHeight="15" x14ac:dyDescent="0.25"/>
  <sheetData>
    <row r="1" spans="1:19" x14ac:dyDescent="0.25">
      <c r="A1" s="1" t="s">
        <v>3</v>
      </c>
      <c r="B1" s="1" t="s">
        <v>4</v>
      </c>
      <c r="C1" s="1" t="s">
        <v>14</v>
      </c>
      <c r="D1" s="1" t="s">
        <v>15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N1" s="1" t="s">
        <v>3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</row>
    <row r="2" spans="1:19" x14ac:dyDescent="0.25">
      <c r="A2" s="2">
        <v>1</v>
      </c>
      <c r="B2" s="2">
        <v>10.754812088501126</v>
      </c>
      <c r="C2" s="2">
        <v>1518</v>
      </c>
      <c r="D2" s="2">
        <v>2330</v>
      </c>
      <c r="E2">
        <f t="shared" ref="E2:E65" si="0">+D2-C2</f>
        <v>812</v>
      </c>
      <c r="F2">
        <f t="shared" ref="F2:F65" si="1">+(D2-C2)/(5*2)</f>
        <v>81.2</v>
      </c>
      <c r="G2">
        <f t="shared" ref="G2:G65" si="2">+C2+1*F2</f>
        <v>1599.2</v>
      </c>
      <c r="H2">
        <f t="shared" ref="H2:H65" si="3">+C2+3*F2</f>
        <v>1761.6</v>
      </c>
      <c r="I2">
        <f t="shared" ref="I2:I65" si="4">+C2+5*F2</f>
        <v>1924</v>
      </c>
      <c r="J2">
        <f t="shared" ref="J2:J65" si="5">+C2+7*F2</f>
        <v>2086.4</v>
      </c>
      <c r="K2">
        <f t="shared" ref="K2:K65" si="6">+C2+9*F2</f>
        <v>2248.8000000000002</v>
      </c>
      <c r="N2" s="2">
        <v>1</v>
      </c>
      <c r="O2">
        <v>1599.2</v>
      </c>
      <c r="P2">
        <v>1761.6</v>
      </c>
      <c r="Q2">
        <v>1924</v>
      </c>
      <c r="R2">
        <v>2086.4</v>
      </c>
      <c r="S2">
        <v>2248.8000000000002</v>
      </c>
    </row>
    <row r="3" spans="1:19" x14ac:dyDescent="0.25">
      <c r="A3" s="2">
        <v>2</v>
      </c>
      <c r="B3" s="2">
        <v>36.494236723532325</v>
      </c>
      <c r="C3" s="2">
        <v>1524</v>
      </c>
      <c r="D3" s="2">
        <v>2537</v>
      </c>
      <c r="E3">
        <f t="shared" si="0"/>
        <v>1013</v>
      </c>
      <c r="F3">
        <f t="shared" si="1"/>
        <v>101.3</v>
      </c>
      <c r="G3">
        <f t="shared" si="2"/>
        <v>1625.3</v>
      </c>
      <c r="H3">
        <f t="shared" si="3"/>
        <v>1827.9</v>
      </c>
      <c r="I3">
        <f t="shared" si="4"/>
        <v>2030.5</v>
      </c>
      <c r="J3">
        <f t="shared" si="5"/>
        <v>2233.1</v>
      </c>
      <c r="K3">
        <f t="shared" si="6"/>
        <v>2435.6999999999998</v>
      </c>
      <c r="N3" s="2">
        <v>2</v>
      </c>
      <c r="O3">
        <v>1625.3</v>
      </c>
      <c r="P3">
        <v>1827.9</v>
      </c>
      <c r="Q3">
        <v>2030.5</v>
      </c>
      <c r="R3">
        <v>2233.1</v>
      </c>
      <c r="S3">
        <v>2435.6999999999998</v>
      </c>
    </row>
    <row r="4" spans="1:19" x14ac:dyDescent="0.25">
      <c r="A4" s="2">
        <v>3</v>
      </c>
      <c r="B4" s="2">
        <v>34.248236515193192</v>
      </c>
      <c r="C4" s="2">
        <v>1404</v>
      </c>
      <c r="D4" s="2">
        <v>2318</v>
      </c>
      <c r="E4">
        <f t="shared" si="0"/>
        <v>914</v>
      </c>
      <c r="F4">
        <f t="shared" si="1"/>
        <v>91.4</v>
      </c>
      <c r="G4">
        <f t="shared" si="2"/>
        <v>1495.4</v>
      </c>
      <c r="H4">
        <f t="shared" si="3"/>
        <v>1678.2</v>
      </c>
      <c r="I4">
        <f t="shared" si="4"/>
        <v>1861</v>
      </c>
      <c r="J4">
        <f t="shared" si="5"/>
        <v>2043.8000000000002</v>
      </c>
      <c r="K4">
        <f t="shared" si="6"/>
        <v>2226.6</v>
      </c>
      <c r="N4" s="2">
        <v>3</v>
      </c>
      <c r="O4">
        <v>1495.4</v>
      </c>
      <c r="P4">
        <v>1678.2</v>
      </c>
      <c r="Q4">
        <v>1861</v>
      </c>
      <c r="R4">
        <v>2043.8000000000002</v>
      </c>
      <c r="S4">
        <v>2226.6</v>
      </c>
    </row>
    <row r="5" spans="1:19" x14ac:dyDescent="0.25">
      <c r="A5" s="2">
        <v>4</v>
      </c>
      <c r="B5" s="2">
        <v>18.823804541770119</v>
      </c>
      <c r="C5" s="2">
        <v>1404</v>
      </c>
      <c r="D5" s="2">
        <v>2219</v>
      </c>
      <c r="E5">
        <f t="shared" si="0"/>
        <v>815</v>
      </c>
      <c r="F5">
        <f t="shared" si="1"/>
        <v>81.5</v>
      </c>
      <c r="G5">
        <f t="shared" si="2"/>
        <v>1485.5</v>
      </c>
      <c r="H5">
        <f t="shared" si="3"/>
        <v>1648.5</v>
      </c>
      <c r="I5">
        <f t="shared" si="4"/>
        <v>1811.5</v>
      </c>
      <c r="J5">
        <f t="shared" si="5"/>
        <v>1974.5</v>
      </c>
      <c r="K5">
        <f t="shared" si="6"/>
        <v>2137.5</v>
      </c>
      <c r="N5" s="2">
        <v>4</v>
      </c>
      <c r="O5">
        <v>1485.5</v>
      </c>
      <c r="P5">
        <v>1648.5</v>
      </c>
      <c r="Q5">
        <v>1811.5</v>
      </c>
      <c r="R5">
        <v>1974.5</v>
      </c>
      <c r="S5">
        <v>2137.5</v>
      </c>
    </row>
    <row r="6" spans="1:19" x14ac:dyDescent="0.25">
      <c r="A6" s="2">
        <v>5</v>
      </c>
      <c r="B6" s="2">
        <v>38.842502728917729</v>
      </c>
      <c r="C6" s="2">
        <v>1287</v>
      </c>
      <c r="D6" s="2">
        <v>2145</v>
      </c>
      <c r="E6">
        <f t="shared" si="0"/>
        <v>858</v>
      </c>
      <c r="F6">
        <f t="shared" si="1"/>
        <v>85.8</v>
      </c>
      <c r="G6">
        <f t="shared" si="2"/>
        <v>1372.8</v>
      </c>
      <c r="H6">
        <f t="shared" si="3"/>
        <v>1544.4</v>
      </c>
      <c r="I6">
        <f t="shared" si="4"/>
        <v>1716</v>
      </c>
      <c r="J6">
        <f t="shared" si="5"/>
        <v>1887.6</v>
      </c>
      <c r="K6">
        <f t="shared" si="6"/>
        <v>2059.1999999999998</v>
      </c>
      <c r="N6" s="2">
        <v>5</v>
      </c>
      <c r="O6">
        <v>1372.8</v>
      </c>
      <c r="P6">
        <v>1544.4</v>
      </c>
      <c r="Q6">
        <v>1716</v>
      </c>
      <c r="R6">
        <v>1887.6</v>
      </c>
      <c r="S6">
        <v>2059.1999999999998</v>
      </c>
    </row>
    <row r="7" spans="1:19" x14ac:dyDescent="0.25">
      <c r="A7" s="2">
        <v>6</v>
      </c>
      <c r="B7" s="2">
        <v>21.908690885987451</v>
      </c>
      <c r="C7" s="2">
        <v>1283</v>
      </c>
      <c r="D7" s="2">
        <v>1955</v>
      </c>
      <c r="E7">
        <f t="shared" si="0"/>
        <v>672</v>
      </c>
      <c r="F7">
        <f t="shared" si="1"/>
        <v>67.2</v>
      </c>
      <c r="G7">
        <f t="shared" si="2"/>
        <v>1350.2</v>
      </c>
      <c r="H7">
        <f t="shared" si="3"/>
        <v>1484.6</v>
      </c>
      <c r="I7">
        <f t="shared" si="4"/>
        <v>1619</v>
      </c>
      <c r="J7">
        <f t="shared" si="5"/>
        <v>1753.4</v>
      </c>
      <c r="K7">
        <f t="shared" si="6"/>
        <v>1887.8000000000002</v>
      </c>
      <c r="N7" s="2">
        <v>6</v>
      </c>
      <c r="O7">
        <v>1350.2</v>
      </c>
      <c r="P7">
        <v>1484.6</v>
      </c>
      <c r="Q7">
        <v>1619</v>
      </c>
      <c r="R7">
        <v>1753.4</v>
      </c>
      <c r="S7">
        <v>1887.8000000000002</v>
      </c>
    </row>
    <row r="8" spans="1:19" x14ac:dyDescent="0.25">
      <c r="A8" s="2">
        <v>7</v>
      </c>
      <c r="B8" s="2">
        <v>2.6442981807135695</v>
      </c>
      <c r="C8" s="2">
        <v>1387</v>
      </c>
      <c r="D8" s="2">
        <v>1495</v>
      </c>
      <c r="E8">
        <f t="shared" si="0"/>
        <v>108</v>
      </c>
      <c r="F8">
        <f t="shared" si="1"/>
        <v>10.8</v>
      </c>
      <c r="G8">
        <f t="shared" si="2"/>
        <v>1397.8</v>
      </c>
      <c r="H8">
        <f t="shared" si="3"/>
        <v>1419.4</v>
      </c>
      <c r="I8">
        <f t="shared" si="4"/>
        <v>1441</v>
      </c>
      <c r="J8">
        <f t="shared" si="5"/>
        <v>1462.6</v>
      </c>
      <c r="K8">
        <f t="shared" si="6"/>
        <v>1484.2</v>
      </c>
      <c r="N8" s="2">
        <v>7</v>
      </c>
      <c r="O8">
        <v>1397.8</v>
      </c>
      <c r="P8">
        <v>1419.4</v>
      </c>
      <c r="Q8">
        <v>1441</v>
      </c>
      <c r="R8">
        <v>1462.6</v>
      </c>
      <c r="S8">
        <v>1484.2</v>
      </c>
    </row>
    <row r="9" spans="1:19" x14ac:dyDescent="0.25">
      <c r="A9" s="2">
        <v>8</v>
      </c>
      <c r="B9" s="2">
        <v>15.815040735690181</v>
      </c>
      <c r="C9" s="2">
        <v>1387</v>
      </c>
      <c r="D9" s="2">
        <v>2094</v>
      </c>
      <c r="E9">
        <f t="shared" si="0"/>
        <v>707</v>
      </c>
      <c r="F9">
        <f t="shared" si="1"/>
        <v>70.7</v>
      </c>
      <c r="G9">
        <f t="shared" si="2"/>
        <v>1457.7</v>
      </c>
      <c r="H9">
        <f t="shared" si="3"/>
        <v>1599.1</v>
      </c>
      <c r="I9">
        <f t="shared" si="4"/>
        <v>1740.5</v>
      </c>
      <c r="J9">
        <f t="shared" si="5"/>
        <v>1881.9</v>
      </c>
      <c r="K9">
        <f t="shared" si="6"/>
        <v>2023.3000000000002</v>
      </c>
      <c r="N9" s="2">
        <v>8</v>
      </c>
      <c r="O9">
        <v>1457.7</v>
      </c>
      <c r="P9">
        <v>1599.1</v>
      </c>
      <c r="Q9">
        <v>1740.5</v>
      </c>
      <c r="R9">
        <v>1881.9</v>
      </c>
      <c r="S9">
        <v>2023.3000000000002</v>
      </c>
    </row>
    <row r="10" spans="1:19" x14ac:dyDescent="0.25">
      <c r="A10" s="2">
        <v>9</v>
      </c>
      <c r="B10" s="2">
        <v>11.872814192929143</v>
      </c>
      <c r="C10" s="2">
        <v>1275</v>
      </c>
      <c r="D10" s="2">
        <v>1471</v>
      </c>
      <c r="E10">
        <f t="shared" si="0"/>
        <v>196</v>
      </c>
      <c r="F10">
        <f t="shared" si="1"/>
        <v>19.600000000000001</v>
      </c>
      <c r="G10">
        <f t="shared" si="2"/>
        <v>1294.5999999999999</v>
      </c>
      <c r="H10">
        <f t="shared" si="3"/>
        <v>1333.8</v>
      </c>
      <c r="I10">
        <f t="shared" si="4"/>
        <v>1373</v>
      </c>
      <c r="J10">
        <f t="shared" si="5"/>
        <v>1412.2</v>
      </c>
      <c r="K10">
        <f t="shared" si="6"/>
        <v>1451.4</v>
      </c>
      <c r="N10" s="2">
        <v>9</v>
      </c>
      <c r="O10">
        <v>1294.5999999999999</v>
      </c>
      <c r="P10">
        <v>1333.8</v>
      </c>
      <c r="Q10">
        <v>1373</v>
      </c>
      <c r="R10">
        <v>1412.2</v>
      </c>
      <c r="S10">
        <v>1451.4</v>
      </c>
    </row>
    <row r="11" spans="1:19" x14ac:dyDescent="0.25">
      <c r="A11" s="2">
        <v>10</v>
      </c>
      <c r="B11" s="2">
        <v>41.709017333424413</v>
      </c>
      <c r="C11" s="2">
        <v>1274</v>
      </c>
      <c r="D11" s="2">
        <v>1573</v>
      </c>
      <c r="E11">
        <f t="shared" si="0"/>
        <v>299</v>
      </c>
      <c r="F11">
        <f t="shared" si="1"/>
        <v>29.9</v>
      </c>
      <c r="G11">
        <f t="shared" si="2"/>
        <v>1303.9000000000001</v>
      </c>
      <c r="H11">
        <f t="shared" si="3"/>
        <v>1363.7</v>
      </c>
      <c r="I11">
        <f t="shared" si="4"/>
        <v>1423.5</v>
      </c>
      <c r="J11">
        <f t="shared" si="5"/>
        <v>1483.3</v>
      </c>
      <c r="K11">
        <f t="shared" si="6"/>
        <v>1543.1</v>
      </c>
      <c r="N11" s="2">
        <v>10</v>
      </c>
      <c r="O11">
        <v>1303.9000000000001</v>
      </c>
      <c r="P11">
        <v>1363.7</v>
      </c>
      <c r="Q11">
        <v>1423.5</v>
      </c>
      <c r="R11">
        <v>1483.3</v>
      </c>
      <c r="S11">
        <v>1543.1</v>
      </c>
    </row>
    <row r="12" spans="1:19" x14ac:dyDescent="0.25">
      <c r="A12" s="2">
        <v>11</v>
      </c>
      <c r="B12" s="2">
        <v>10.06817104553476</v>
      </c>
      <c r="C12" s="2">
        <v>1370</v>
      </c>
      <c r="D12" s="2">
        <v>1771</v>
      </c>
      <c r="E12">
        <f t="shared" si="0"/>
        <v>401</v>
      </c>
      <c r="F12">
        <f t="shared" si="1"/>
        <v>40.1</v>
      </c>
      <c r="G12">
        <f t="shared" si="2"/>
        <v>1410.1</v>
      </c>
      <c r="H12">
        <f t="shared" si="3"/>
        <v>1490.3</v>
      </c>
      <c r="I12">
        <f t="shared" si="4"/>
        <v>1570.5</v>
      </c>
      <c r="J12">
        <f t="shared" si="5"/>
        <v>1650.7</v>
      </c>
      <c r="K12">
        <f t="shared" si="6"/>
        <v>1730.9</v>
      </c>
      <c r="N12" s="2">
        <v>11</v>
      </c>
      <c r="O12">
        <v>1410.1</v>
      </c>
      <c r="P12">
        <v>1490.3</v>
      </c>
      <c r="Q12">
        <v>1570.5</v>
      </c>
      <c r="R12">
        <v>1650.7</v>
      </c>
      <c r="S12">
        <v>1730.9</v>
      </c>
    </row>
    <row r="13" spans="1:19" x14ac:dyDescent="0.25">
      <c r="A13" s="2">
        <v>12</v>
      </c>
      <c r="B13" s="2">
        <v>23.511109425541544</v>
      </c>
      <c r="C13" s="2">
        <v>1371</v>
      </c>
      <c r="D13" s="2">
        <v>2296</v>
      </c>
      <c r="E13">
        <f t="shared" si="0"/>
        <v>925</v>
      </c>
      <c r="F13">
        <f t="shared" si="1"/>
        <v>92.5</v>
      </c>
      <c r="G13">
        <f t="shared" si="2"/>
        <v>1463.5</v>
      </c>
      <c r="H13">
        <f t="shared" si="3"/>
        <v>1648.5</v>
      </c>
      <c r="I13">
        <f t="shared" si="4"/>
        <v>1833.5</v>
      </c>
      <c r="J13">
        <f t="shared" si="5"/>
        <v>2018.5</v>
      </c>
      <c r="K13">
        <f t="shared" si="6"/>
        <v>2203.5</v>
      </c>
      <c r="N13" s="2">
        <v>12</v>
      </c>
      <c r="O13">
        <v>1463.5</v>
      </c>
      <c r="P13">
        <v>1648.5</v>
      </c>
      <c r="Q13">
        <v>1833.5</v>
      </c>
      <c r="R13">
        <v>2018.5</v>
      </c>
      <c r="S13">
        <v>2203.5</v>
      </c>
    </row>
    <row r="14" spans="1:19" x14ac:dyDescent="0.25">
      <c r="A14" s="2">
        <v>13</v>
      </c>
      <c r="B14" s="2">
        <v>2.6027767816539802</v>
      </c>
      <c r="C14" s="2">
        <v>1410</v>
      </c>
      <c r="D14" s="2">
        <v>1710</v>
      </c>
      <c r="E14">
        <f t="shared" si="0"/>
        <v>300</v>
      </c>
      <c r="F14">
        <f t="shared" si="1"/>
        <v>30</v>
      </c>
      <c r="G14">
        <f t="shared" si="2"/>
        <v>1440</v>
      </c>
      <c r="H14">
        <f t="shared" si="3"/>
        <v>1500</v>
      </c>
      <c r="I14">
        <f t="shared" si="4"/>
        <v>1560</v>
      </c>
      <c r="J14">
        <f t="shared" si="5"/>
        <v>1620</v>
      </c>
      <c r="K14">
        <f t="shared" si="6"/>
        <v>1680</v>
      </c>
      <c r="N14" s="2">
        <v>13</v>
      </c>
      <c r="O14">
        <v>1440</v>
      </c>
      <c r="P14">
        <v>1500</v>
      </c>
      <c r="Q14">
        <v>1560</v>
      </c>
      <c r="R14">
        <v>1620</v>
      </c>
      <c r="S14">
        <v>1680</v>
      </c>
    </row>
    <row r="15" spans="1:19" x14ac:dyDescent="0.25">
      <c r="A15" s="2">
        <v>14</v>
      </c>
      <c r="B15" s="2">
        <v>0.64665741105884411</v>
      </c>
      <c r="C15" s="2">
        <v>1270</v>
      </c>
      <c r="D15" s="2">
        <v>1325</v>
      </c>
      <c r="E15">
        <f t="shared" si="0"/>
        <v>55</v>
      </c>
      <c r="F15">
        <f t="shared" si="1"/>
        <v>5.5</v>
      </c>
      <c r="G15">
        <f t="shared" si="2"/>
        <v>1275.5</v>
      </c>
      <c r="H15">
        <f t="shared" si="3"/>
        <v>1286.5</v>
      </c>
      <c r="I15">
        <f t="shared" si="4"/>
        <v>1297.5</v>
      </c>
      <c r="J15">
        <f t="shared" si="5"/>
        <v>1308.5</v>
      </c>
      <c r="K15">
        <f t="shared" si="6"/>
        <v>1319.5</v>
      </c>
      <c r="N15" s="2">
        <v>14</v>
      </c>
      <c r="O15">
        <v>1275.5</v>
      </c>
      <c r="P15">
        <v>1286.5</v>
      </c>
      <c r="Q15">
        <v>1297.5</v>
      </c>
      <c r="R15">
        <v>1308.5</v>
      </c>
      <c r="S15">
        <v>1319.5</v>
      </c>
    </row>
    <row r="16" spans="1:19" x14ac:dyDescent="0.25">
      <c r="A16" s="2">
        <v>15</v>
      </c>
      <c r="B16" s="2">
        <v>14.95001141577157</v>
      </c>
      <c r="C16" s="2">
        <v>1411</v>
      </c>
      <c r="D16" s="2">
        <v>2728</v>
      </c>
      <c r="E16">
        <f t="shared" si="0"/>
        <v>1317</v>
      </c>
      <c r="F16">
        <f t="shared" si="1"/>
        <v>131.69999999999999</v>
      </c>
      <c r="G16">
        <f t="shared" si="2"/>
        <v>1542.7</v>
      </c>
      <c r="H16">
        <f t="shared" si="3"/>
        <v>1806.1</v>
      </c>
      <c r="I16">
        <f t="shared" si="4"/>
        <v>2069.5</v>
      </c>
      <c r="J16">
        <f t="shared" si="5"/>
        <v>2332.8999999999996</v>
      </c>
      <c r="K16">
        <f t="shared" si="6"/>
        <v>2596.3000000000002</v>
      </c>
      <c r="N16" s="2">
        <v>15</v>
      </c>
      <c r="O16">
        <v>1542.7</v>
      </c>
      <c r="P16">
        <v>1806.1</v>
      </c>
      <c r="Q16">
        <v>2069.5</v>
      </c>
      <c r="R16">
        <v>2332.8999999999996</v>
      </c>
      <c r="S16">
        <v>2596.3000000000002</v>
      </c>
    </row>
    <row r="17" spans="1:19" x14ac:dyDescent="0.25">
      <c r="A17" s="2">
        <v>16</v>
      </c>
      <c r="B17" s="2">
        <v>0.17069913894043642</v>
      </c>
      <c r="C17" s="2">
        <v>1280</v>
      </c>
      <c r="D17" s="2">
        <v>1291</v>
      </c>
      <c r="E17">
        <f t="shared" si="0"/>
        <v>11</v>
      </c>
      <c r="F17">
        <f t="shared" si="1"/>
        <v>1.1000000000000001</v>
      </c>
      <c r="G17">
        <f t="shared" si="2"/>
        <v>1281.0999999999999</v>
      </c>
      <c r="H17">
        <f t="shared" si="3"/>
        <v>1283.3</v>
      </c>
      <c r="I17">
        <f t="shared" si="4"/>
        <v>1285.5</v>
      </c>
      <c r="J17">
        <f t="shared" si="5"/>
        <v>1287.7</v>
      </c>
      <c r="K17">
        <f t="shared" si="6"/>
        <v>1289.9000000000001</v>
      </c>
      <c r="N17" s="2">
        <v>16</v>
      </c>
      <c r="O17">
        <v>1281.0999999999999</v>
      </c>
      <c r="P17">
        <v>1283.3</v>
      </c>
      <c r="Q17">
        <v>1285.5</v>
      </c>
      <c r="R17">
        <v>1287.7</v>
      </c>
      <c r="S17">
        <v>1289.9000000000001</v>
      </c>
    </row>
    <row r="18" spans="1:19" x14ac:dyDescent="0.25">
      <c r="A18" s="2">
        <v>17</v>
      </c>
      <c r="B18" s="2">
        <v>14.460981609864669</v>
      </c>
      <c r="C18" s="2">
        <v>1273</v>
      </c>
      <c r="D18" s="2">
        <v>1352</v>
      </c>
      <c r="E18">
        <f t="shared" si="0"/>
        <v>79</v>
      </c>
      <c r="F18">
        <f t="shared" si="1"/>
        <v>7.9</v>
      </c>
      <c r="G18">
        <f t="shared" si="2"/>
        <v>1280.9000000000001</v>
      </c>
      <c r="H18">
        <f t="shared" si="3"/>
        <v>1296.7</v>
      </c>
      <c r="I18">
        <f t="shared" si="4"/>
        <v>1312.5</v>
      </c>
      <c r="J18">
        <f t="shared" si="5"/>
        <v>1328.3</v>
      </c>
      <c r="K18">
        <f t="shared" si="6"/>
        <v>1344.1</v>
      </c>
      <c r="N18" s="2">
        <v>17</v>
      </c>
      <c r="O18">
        <v>1280.9000000000001</v>
      </c>
      <c r="P18">
        <v>1296.7</v>
      </c>
      <c r="Q18">
        <v>1312.5</v>
      </c>
      <c r="R18">
        <v>1328.3</v>
      </c>
      <c r="S18">
        <v>1344.1</v>
      </c>
    </row>
    <row r="19" spans="1:19" x14ac:dyDescent="0.25">
      <c r="A19" s="2">
        <v>18</v>
      </c>
      <c r="B19" s="2">
        <v>0.13686683352605983</v>
      </c>
      <c r="C19" s="2">
        <v>1411</v>
      </c>
      <c r="D19" s="2">
        <v>1417</v>
      </c>
      <c r="E19">
        <f t="shared" si="0"/>
        <v>6</v>
      </c>
      <c r="F19">
        <f t="shared" si="1"/>
        <v>0.6</v>
      </c>
      <c r="G19">
        <f t="shared" si="2"/>
        <v>1411.6</v>
      </c>
      <c r="H19">
        <f t="shared" si="3"/>
        <v>1412.8</v>
      </c>
      <c r="I19">
        <f t="shared" si="4"/>
        <v>1414</v>
      </c>
      <c r="J19">
        <f t="shared" si="5"/>
        <v>1415.2</v>
      </c>
      <c r="K19">
        <f t="shared" si="6"/>
        <v>1416.4</v>
      </c>
      <c r="N19" s="2">
        <v>18</v>
      </c>
      <c r="O19">
        <v>1411.6</v>
      </c>
      <c r="P19">
        <v>1412.8</v>
      </c>
      <c r="Q19">
        <v>1414</v>
      </c>
      <c r="R19">
        <v>1415.2</v>
      </c>
      <c r="S19">
        <v>1416.4</v>
      </c>
    </row>
    <row r="20" spans="1:19" x14ac:dyDescent="0.25">
      <c r="A20" s="2">
        <v>19</v>
      </c>
      <c r="B20" s="2">
        <v>10.460317677551735</v>
      </c>
      <c r="C20" s="2">
        <v>1412</v>
      </c>
      <c r="D20" s="2">
        <v>2789</v>
      </c>
      <c r="E20">
        <f t="shared" si="0"/>
        <v>1377</v>
      </c>
      <c r="F20">
        <f t="shared" si="1"/>
        <v>137.69999999999999</v>
      </c>
      <c r="G20">
        <f t="shared" si="2"/>
        <v>1549.7</v>
      </c>
      <c r="H20">
        <f t="shared" si="3"/>
        <v>1825.1</v>
      </c>
      <c r="I20">
        <f t="shared" si="4"/>
        <v>2100.5</v>
      </c>
      <c r="J20">
        <f t="shared" si="5"/>
        <v>2375.8999999999996</v>
      </c>
      <c r="K20">
        <f t="shared" si="6"/>
        <v>2651.3</v>
      </c>
      <c r="N20" s="2">
        <v>19</v>
      </c>
      <c r="O20">
        <v>1549.7</v>
      </c>
      <c r="P20">
        <v>1825.1</v>
      </c>
      <c r="Q20">
        <v>2100.5</v>
      </c>
      <c r="R20">
        <v>2375.8999999999996</v>
      </c>
      <c r="S20">
        <v>2651.3</v>
      </c>
    </row>
    <row r="21" spans="1:19" x14ac:dyDescent="0.25">
      <c r="A21" s="2">
        <v>20</v>
      </c>
      <c r="B21" s="2">
        <v>4.7672721309481787</v>
      </c>
      <c r="C21" s="2">
        <v>1275</v>
      </c>
      <c r="D21" s="2">
        <v>1331</v>
      </c>
      <c r="E21">
        <f t="shared" si="0"/>
        <v>56</v>
      </c>
      <c r="F21">
        <f t="shared" si="1"/>
        <v>5.6</v>
      </c>
      <c r="G21">
        <f t="shared" si="2"/>
        <v>1280.5999999999999</v>
      </c>
      <c r="H21">
        <f t="shared" si="3"/>
        <v>1291.8</v>
      </c>
      <c r="I21">
        <f t="shared" si="4"/>
        <v>1303</v>
      </c>
      <c r="J21">
        <f t="shared" si="5"/>
        <v>1314.2</v>
      </c>
      <c r="K21">
        <f t="shared" si="6"/>
        <v>1325.4</v>
      </c>
      <c r="N21" s="2">
        <v>20</v>
      </c>
      <c r="O21">
        <v>1280.5999999999999</v>
      </c>
      <c r="P21">
        <v>1291.8</v>
      </c>
      <c r="Q21">
        <v>1303</v>
      </c>
      <c r="R21">
        <v>1314.2</v>
      </c>
      <c r="S21">
        <v>1325.4</v>
      </c>
    </row>
    <row r="22" spans="1:19" x14ac:dyDescent="0.25">
      <c r="A22" s="2">
        <v>21</v>
      </c>
      <c r="B22" s="2">
        <v>21.332773692158579</v>
      </c>
      <c r="C22" s="2">
        <v>1271</v>
      </c>
      <c r="D22" s="2">
        <v>1649</v>
      </c>
      <c r="E22">
        <f t="shared" si="0"/>
        <v>378</v>
      </c>
      <c r="F22">
        <f t="shared" si="1"/>
        <v>37.799999999999997</v>
      </c>
      <c r="G22">
        <f t="shared" si="2"/>
        <v>1308.8</v>
      </c>
      <c r="H22">
        <f t="shared" si="3"/>
        <v>1384.4</v>
      </c>
      <c r="I22">
        <f t="shared" si="4"/>
        <v>1460</v>
      </c>
      <c r="J22">
        <f t="shared" si="5"/>
        <v>1535.6</v>
      </c>
      <c r="K22">
        <f t="shared" si="6"/>
        <v>1611.2</v>
      </c>
      <c r="N22" s="2">
        <v>21</v>
      </c>
      <c r="O22">
        <v>1308.8</v>
      </c>
      <c r="P22">
        <v>1384.4</v>
      </c>
      <c r="Q22">
        <v>1460</v>
      </c>
      <c r="R22">
        <v>1535.6</v>
      </c>
      <c r="S22">
        <v>1611.2</v>
      </c>
    </row>
    <row r="23" spans="1:19" x14ac:dyDescent="0.25">
      <c r="A23" s="2">
        <v>22</v>
      </c>
      <c r="B23" s="2">
        <v>1.5485945124659859</v>
      </c>
      <c r="C23" s="2">
        <v>1409</v>
      </c>
      <c r="D23" s="2">
        <v>1437</v>
      </c>
      <c r="E23">
        <f t="shared" si="0"/>
        <v>28</v>
      </c>
      <c r="F23">
        <f t="shared" si="1"/>
        <v>2.8</v>
      </c>
      <c r="G23">
        <f t="shared" si="2"/>
        <v>1411.8</v>
      </c>
      <c r="H23">
        <f t="shared" si="3"/>
        <v>1417.4</v>
      </c>
      <c r="I23">
        <f t="shared" si="4"/>
        <v>1423</v>
      </c>
      <c r="J23">
        <f t="shared" si="5"/>
        <v>1428.6</v>
      </c>
      <c r="K23">
        <f t="shared" si="6"/>
        <v>1434.2</v>
      </c>
      <c r="N23" s="2">
        <v>22</v>
      </c>
      <c r="O23">
        <v>1411.8</v>
      </c>
      <c r="P23">
        <v>1417.4</v>
      </c>
      <c r="Q23">
        <v>1423</v>
      </c>
      <c r="R23">
        <v>1428.6</v>
      </c>
      <c r="S23">
        <v>1434.2</v>
      </c>
    </row>
    <row r="24" spans="1:19" x14ac:dyDescent="0.25">
      <c r="A24" s="2">
        <v>23</v>
      </c>
      <c r="B24" s="2">
        <v>35.874491410591702</v>
      </c>
      <c r="C24" s="2">
        <v>1316</v>
      </c>
      <c r="D24" s="2">
        <v>2295</v>
      </c>
      <c r="E24">
        <f t="shared" si="0"/>
        <v>979</v>
      </c>
      <c r="F24">
        <f t="shared" si="1"/>
        <v>97.9</v>
      </c>
      <c r="G24">
        <f t="shared" si="2"/>
        <v>1413.9</v>
      </c>
      <c r="H24">
        <f t="shared" si="3"/>
        <v>1609.7</v>
      </c>
      <c r="I24">
        <f t="shared" si="4"/>
        <v>1805.5</v>
      </c>
      <c r="J24">
        <f t="shared" si="5"/>
        <v>2001.3000000000002</v>
      </c>
      <c r="K24">
        <f t="shared" si="6"/>
        <v>2197.1</v>
      </c>
      <c r="N24" s="2">
        <v>23</v>
      </c>
      <c r="O24">
        <v>1413.9</v>
      </c>
      <c r="P24">
        <v>1609.7</v>
      </c>
      <c r="Q24">
        <v>1805.5</v>
      </c>
      <c r="R24">
        <v>2001.3000000000002</v>
      </c>
      <c r="S24">
        <v>2197.1</v>
      </c>
    </row>
    <row r="25" spans="1:19" x14ac:dyDescent="0.25">
      <c r="A25" s="2">
        <v>24</v>
      </c>
      <c r="B25" s="2">
        <v>6.0106074020911224</v>
      </c>
      <c r="C25" s="2">
        <v>1415</v>
      </c>
      <c r="D25" s="2">
        <v>1795</v>
      </c>
      <c r="E25">
        <f t="shared" si="0"/>
        <v>380</v>
      </c>
      <c r="F25">
        <f t="shared" si="1"/>
        <v>38</v>
      </c>
      <c r="G25">
        <f t="shared" si="2"/>
        <v>1453</v>
      </c>
      <c r="H25">
        <f t="shared" si="3"/>
        <v>1529</v>
      </c>
      <c r="I25">
        <f t="shared" si="4"/>
        <v>1605</v>
      </c>
      <c r="J25">
        <f t="shared" si="5"/>
        <v>1681</v>
      </c>
      <c r="K25">
        <f t="shared" si="6"/>
        <v>1757</v>
      </c>
      <c r="N25" s="2">
        <v>24</v>
      </c>
      <c r="O25">
        <v>1453</v>
      </c>
      <c r="P25">
        <v>1529</v>
      </c>
      <c r="Q25">
        <v>1605</v>
      </c>
      <c r="R25">
        <v>1681</v>
      </c>
      <c r="S25">
        <v>1757</v>
      </c>
    </row>
    <row r="26" spans="1:19" x14ac:dyDescent="0.25">
      <c r="A26" s="2">
        <v>25</v>
      </c>
      <c r="B26" s="2">
        <v>30.874237997746665</v>
      </c>
      <c r="C26" s="2">
        <v>1267</v>
      </c>
      <c r="D26" s="2">
        <v>1445</v>
      </c>
      <c r="E26">
        <f t="shared" si="0"/>
        <v>178</v>
      </c>
      <c r="F26">
        <f t="shared" si="1"/>
        <v>17.8</v>
      </c>
      <c r="G26">
        <f t="shared" si="2"/>
        <v>1284.8</v>
      </c>
      <c r="H26">
        <f t="shared" si="3"/>
        <v>1320.4</v>
      </c>
      <c r="I26">
        <f t="shared" si="4"/>
        <v>1356</v>
      </c>
      <c r="J26">
        <f t="shared" si="5"/>
        <v>1391.6</v>
      </c>
      <c r="K26">
        <f t="shared" si="6"/>
        <v>1427.2</v>
      </c>
      <c r="N26" s="2">
        <v>25</v>
      </c>
      <c r="O26">
        <v>1284.8</v>
      </c>
      <c r="P26">
        <v>1320.4</v>
      </c>
      <c r="Q26">
        <v>1356</v>
      </c>
      <c r="R26">
        <v>1391.6</v>
      </c>
      <c r="S26">
        <v>1427.2</v>
      </c>
    </row>
    <row r="27" spans="1:19" x14ac:dyDescent="0.25">
      <c r="A27" s="2">
        <v>26</v>
      </c>
      <c r="B27" s="2">
        <v>1.5555147946309658</v>
      </c>
      <c r="C27" s="2">
        <v>1317</v>
      </c>
      <c r="D27" s="2">
        <v>1339</v>
      </c>
      <c r="E27">
        <f t="shared" si="0"/>
        <v>22</v>
      </c>
      <c r="F27">
        <f t="shared" si="1"/>
        <v>2.2000000000000002</v>
      </c>
      <c r="G27">
        <f t="shared" si="2"/>
        <v>1319.2</v>
      </c>
      <c r="H27">
        <f t="shared" si="3"/>
        <v>1323.6</v>
      </c>
      <c r="I27">
        <f t="shared" si="4"/>
        <v>1328</v>
      </c>
      <c r="J27">
        <f t="shared" si="5"/>
        <v>1332.4</v>
      </c>
      <c r="K27">
        <f t="shared" si="6"/>
        <v>1336.8</v>
      </c>
      <c r="N27" s="2">
        <v>26</v>
      </c>
      <c r="O27">
        <v>1319.2</v>
      </c>
      <c r="P27">
        <v>1323.6</v>
      </c>
      <c r="Q27">
        <v>1328</v>
      </c>
      <c r="R27">
        <v>1332.4</v>
      </c>
      <c r="S27">
        <v>1336.8</v>
      </c>
    </row>
    <row r="28" spans="1:19" x14ac:dyDescent="0.25">
      <c r="A28" s="2">
        <v>27</v>
      </c>
      <c r="B28" s="2">
        <v>63.576955770479316</v>
      </c>
      <c r="C28" s="2">
        <v>1310</v>
      </c>
      <c r="D28" s="2">
        <v>2369</v>
      </c>
      <c r="E28">
        <f t="shared" si="0"/>
        <v>1059</v>
      </c>
      <c r="F28">
        <f t="shared" si="1"/>
        <v>105.9</v>
      </c>
      <c r="G28">
        <f t="shared" si="2"/>
        <v>1415.9</v>
      </c>
      <c r="H28">
        <f t="shared" si="3"/>
        <v>1627.7</v>
      </c>
      <c r="I28">
        <f t="shared" si="4"/>
        <v>1839.5</v>
      </c>
      <c r="J28">
        <f t="shared" si="5"/>
        <v>2051.3000000000002</v>
      </c>
      <c r="K28">
        <f t="shared" si="6"/>
        <v>2263.1</v>
      </c>
      <c r="N28" s="2">
        <v>27</v>
      </c>
      <c r="O28">
        <v>1415.9</v>
      </c>
      <c r="P28">
        <v>1627.7</v>
      </c>
      <c r="Q28">
        <v>1839.5</v>
      </c>
      <c r="R28">
        <v>2051.3000000000002</v>
      </c>
      <c r="S28">
        <v>2263.1</v>
      </c>
    </row>
    <row r="29" spans="1:19" x14ac:dyDescent="0.25">
      <c r="A29" s="2">
        <v>28</v>
      </c>
      <c r="B29" s="2">
        <v>12.134245376144156</v>
      </c>
      <c r="C29" s="2">
        <v>1309</v>
      </c>
      <c r="D29" s="2">
        <v>1538</v>
      </c>
      <c r="E29">
        <f t="shared" si="0"/>
        <v>229</v>
      </c>
      <c r="F29">
        <f t="shared" si="1"/>
        <v>22.9</v>
      </c>
      <c r="G29">
        <f t="shared" si="2"/>
        <v>1331.9</v>
      </c>
      <c r="H29">
        <f t="shared" si="3"/>
        <v>1377.7</v>
      </c>
      <c r="I29">
        <f t="shared" si="4"/>
        <v>1423.5</v>
      </c>
      <c r="J29">
        <f t="shared" si="5"/>
        <v>1469.3</v>
      </c>
      <c r="K29">
        <f t="shared" si="6"/>
        <v>1515.1</v>
      </c>
      <c r="N29" s="2">
        <v>28</v>
      </c>
      <c r="O29">
        <v>1331.9</v>
      </c>
      <c r="P29">
        <v>1377.7</v>
      </c>
      <c r="Q29">
        <v>1423.5</v>
      </c>
      <c r="R29">
        <v>1469.3</v>
      </c>
      <c r="S29">
        <v>1515.1</v>
      </c>
    </row>
    <row r="30" spans="1:19" x14ac:dyDescent="0.25">
      <c r="A30" s="2">
        <v>29</v>
      </c>
      <c r="B30" s="2">
        <v>1.9991799315907801E-2</v>
      </c>
      <c r="C30" s="2">
        <v>1312</v>
      </c>
      <c r="D30" s="2">
        <v>1319</v>
      </c>
      <c r="E30">
        <f t="shared" si="0"/>
        <v>7</v>
      </c>
      <c r="F30">
        <f t="shared" si="1"/>
        <v>0.7</v>
      </c>
      <c r="G30">
        <f t="shared" si="2"/>
        <v>1312.7</v>
      </c>
      <c r="H30">
        <f t="shared" si="3"/>
        <v>1314.1</v>
      </c>
      <c r="I30">
        <f t="shared" si="4"/>
        <v>1315.5</v>
      </c>
      <c r="J30">
        <f t="shared" si="5"/>
        <v>1316.9</v>
      </c>
      <c r="K30">
        <f t="shared" si="6"/>
        <v>1318.3</v>
      </c>
      <c r="N30" s="2">
        <v>29</v>
      </c>
      <c r="O30">
        <v>1312.7</v>
      </c>
      <c r="P30">
        <v>1314.1</v>
      </c>
      <c r="Q30">
        <v>1315.5</v>
      </c>
      <c r="R30">
        <v>1316.9</v>
      </c>
      <c r="S30">
        <v>1318.3</v>
      </c>
    </row>
    <row r="31" spans="1:19" x14ac:dyDescent="0.25">
      <c r="A31" s="2">
        <v>30</v>
      </c>
      <c r="B31" s="2">
        <v>10.64178153040319</v>
      </c>
      <c r="C31" s="2">
        <v>1307</v>
      </c>
      <c r="D31" s="2">
        <v>1714</v>
      </c>
      <c r="E31">
        <f t="shared" si="0"/>
        <v>407</v>
      </c>
      <c r="F31">
        <f t="shared" si="1"/>
        <v>40.700000000000003</v>
      </c>
      <c r="G31">
        <f t="shared" si="2"/>
        <v>1347.7</v>
      </c>
      <c r="H31">
        <f t="shared" si="3"/>
        <v>1429.1</v>
      </c>
      <c r="I31">
        <f t="shared" si="4"/>
        <v>1510.5</v>
      </c>
      <c r="J31">
        <f t="shared" si="5"/>
        <v>1591.9</v>
      </c>
      <c r="K31">
        <f t="shared" si="6"/>
        <v>1673.3</v>
      </c>
      <c r="N31" s="2">
        <v>30</v>
      </c>
      <c r="O31">
        <v>1347.7</v>
      </c>
      <c r="P31">
        <v>1429.1</v>
      </c>
      <c r="Q31">
        <v>1510.5</v>
      </c>
      <c r="R31">
        <v>1591.9</v>
      </c>
      <c r="S31">
        <v>1673.3</v>
      </c>
    </row>
    <row r="32" spans="1:19" x14ac:dyDescent="0.25">
      <c r="A32" s="2">
        <v>31</v>
      </c>
      <c r="B32" s="2">
        <v>10.245021524832316</v>
      </c>
      <c r="C32" s="2">
        <v>1466</v>
      </c>
      <c r="D32" s="2">
        <v>3007</v>
      </c>
      <c r="E32">
        <f t="shared" si="0"/>
        <v>1541</v>
      </c>
      <c r="F32">
        <f t="shared" si="1"/>
        <v>154.1</v>
      </c>
      <c r="G32">
        <f t="shared" si="2"/>
        <v>1620.1</v>
      </c>
      <c r="H32">
        <f t="shared" si="3"/>
        <v>1928.3</v>
      </c>
      <c r="I32">
        <f t="shared" si="4"/>
        <v>2236.5</v>
      </c>
      <c r="J32">
        <f t="shared" si="5"/>
        <v>2544.6999999999998</v>
      </c>
      <c r="K32">
        <f t="shared" si="6"/>
        <v>2852.8999999999996</v>
      </c>
      <c r="N32" s="2">
        <v>31</v>
      </c>
      <c r="O32">
        <v>1620.1</v>
      </c>
      <c r="P32">
        <v>1928.3</v>
      </c>
      <c r="Q32">
        <v>2236.5</v>
      </c>
      <c r="R32">
        <v>2544.6999999999998</v>
      </c>
      <c r="S32">
        <v>2852.8999999999996</v>
      </c>
    </row>
    <row r="33" spans="1:19" x14ac:dyDescent="0.25">
      <c r="A33" s="2">
        <v>32</v>
      </c>
      <c r="B33" s="2">
        <v>13.220722017218693</v>
      </c>
      <c r="C33" s="2">
        <v>1425</v>
      </c>
      <c r="D33" s="2">
        <v>1799</v>
      </c>
      <c r="E33">
        <f t="shared" si="0"/>
        <v>374</v>
      </c>
      <c r="F33">
        <f t="shared" si="1"/>
        <v>37.4</v>
      </c>
      <c r="G33">
        <f t="shared" si="2"/>
        <v>1462.4</v>
      </c>
      <c r="H33">
        <f t="shared" si="3"/>
        <v>1537.2</v>
      </c>
      <c r="I33">
        <f t="shared" si="4"/>
        <v>1612</v>
      </c>
      <c r="J33">
        <f t="shared" si="5"/>
        <v>1686.8</v>
      </c>
      <c r="K33">
        <f t="shared" si="6"/>
        <v>1761.6</v>
      </c>
      <c r="N33" s="2">
        <v>32</v>
      </c>
      <c r="O33">
        <v>1462.4</v>
      </c>
      <c r="P33">
        <v>1537.2</v>
      </c>
      <c r="Q33">
        <v>1612</v>
      </c>
      <c r="R33">
        <v>1686.8</v>
      </c>
      <c r="S33">
        <v>1761.6</v>
      </c>
    </row>
    <row r="34" spans="1:19" x14ac:dyDescent="0.25">
      <c r="A34" s="2">
        <v>33</v>
      </c>
      <c r="B34" s="2">
        <v>11.85051563751256</v>
      </c>
      <c r="C34" s="2">
        <v>1466</v>
      </c>
      <c r="D34" s="2">
        <v>2864</v>
      </c>
      <c r="E34">
        <f t="shared" si="0"/>
        <v>1398</v>
      </c>
      <c r="F34">
        <f t="shared" si="1"/>
        <v>139.80000000000001</v>
      </c>
      <c r="G34">
        <f t="shared" si="2"/>
        <v>1605.8</v>
      </c>
      <c r="H34">
        <f t="shared" si="3"/>
        <v>1885.4</v>
      </c>
      <c r="I34">
        <f t="shared" si="4"/>
        <v>2165</v>
      </c>
      <c r="J34">
        <f t="shared" si="5"/>
        <v>2444.6000000000004</v>
      </c>
      <c r="K34">
        <f t="shared" si="6"/>
        <v>2724.2</v>
      </c>
      <c r="N34" s="2">
        <v>33</v>
      </c>
      <c r="O34">
        <v>1605.8</v>
      </c>
      <c r="P34">
        <v>1885.4</v>
      </c>
      <c r="Q34">
        <v>2165</v>
      </c>
      <c r="R34">
        <v>2444.6000000000004</v>
      </c>
      <c r="S34">
        <v>2724.2</v>
      </c>
    </row>
    <row r="35" spans="1:19" x14ac:dyDescent="0.25">
      <c r="A35" s="2">
        <v>34</v>
      </c>
      <c r="B35" s="2">
        <v>39.549904427046883</v>
      </c>
      <c r="C35" s="2">
        <v>1350</v>
      </c>
      <c r="D35" s="2">
        <v>1767</v>
      </c>
      <c r="E35">
        <f t="shared" si="0"/>
        <v>417</v>
      </c>
      <c r="F35">
        <f t="shared" si="1"/>
        <v>41.7</v>
      </c>
      <c r="G35">
        <f t="shared" si="2"/>
        <v>1391.7</v>
      </c>
      <c r="H35">
        <f t="shared" si="3"/>
        <v>1475.1</v>
      </c>
      <c r="I35">
        <f t="shared" si="4"/>
        <v>1558.5</v>
      </c>
      <c r="J35">
        <f t="shared" si="5"/>
        <v>1641.9</v>
      </c>
      <c r="K35">
        <f t="shared" si="6"/>
        <v>1725.3</v>
      </c>
      <c r="N35" s="2">
        <v>34</v>
      </c>
      <c r="O35">
        <v>1391.7</v>
      </c>
      <c r="P35">
        <v>1475.1</v>
      </c>
      <c r="Q35">
        <v>1558.5</v>
      </c>
      <c r="R35">
        <v>1641.9</v>
      </c>
      <c r="S35">
        <v>1725.3</v>
      </c>
    </row>
    <row r="36" spans="1:19" x14ac:dyDescent="0.25">
      <c r="A36" s="2">
        <v>35</v>
      </c>
      <c r="B36" s="2">
        <v>0.50440820116734419</v>
      </c>
      <c r="C36" s="2">
        <v>1354</v>
      </c>
      <c r="D36" s="2">
        <v>1367</v>
      </c>
      <c r="E36">
        <f t="shared" si="0"/>
        <v>13</v>
      </c>
      <c r="F36">
        <f t="shared" si="1"/>
        <v>1.3</v>
      </c>
      <c r="G36">
        <f t="shared" si="2"/>
        <v>1355.3</v>
      </c>
      <c r="H36">
        <f t="shared" si="3"/>
        <v>1357.9</v>
      </c>
      <c r="I36">
        <f t="shared" si="4"/>
        <v>1360.5</v>
      </c>
      <c r="J36">
        <f t="shared" si="5"/>
        <v>1363.1</v>
      </c>
      <c r="K36">
        <f t="shared" si="6"/>
        <v>1365.7</v>
      </c>
      <c r="N36" s="2">
        <v>35</v>
      </c>
      <c r="O36">
        <v>1355.3</v>
      </c>
      <c r="P36">
        <v>1357.9</v>
      </c>
      <c r="Q36">
        <v>1360.5</v>
      </c>
      <c r="R36">
        <v>1363.1</v>
      </c>
      <c r="S36">
        <v>1365.7</v>
      </c>
    </row>
    <row r="37" spans="1:19" x14ac:dyDescent="0.25">
      <c r="A37" s="2">
        <v>36</v>
      </c>
      <c r="B37" s="2">
        <v>0.34908736320725897</v>
      </c>
      <c r="C37" s="2">
        <v>1343</v>
      </c>
      <c r="D37" s="2">
        <v>1370</v>
      </c>
      <c r="E37">
        <f t="shared" si="0"/>
        <v>27</v>
      </c>
      <c r="F37">
        <f t="shared" si="1"/>
        <v>2.7</v>
      </c>
      <c r="G37">
        <f t="shared" si="2"/>
        <v>1345.7</v>
      </c>
      <c r="H37">
        <f t="shared" si="3"/>
        <v>1351.1</v>
      </c>
      <c r="I37">
        <f t="shared" si="4"/>
        <v>1356.5</v>
      </c>
      <c r="J37">
        <f t="shared" si="5"/>
        <v>1361.9</v>
      </c>
      <c r="K37">
        <f t="shared" si="6"/>
        <v>1367.3</v>
      </c>
      <c r="N37" s="2">
        <v>36</v>
      </c>
      <c r="O37">
        <v>1345.7</v>
      </c>
      <c r="P37">
        <v>1351.1</v>
      </c>
      <c r="Q37">
        <v>1356.5</v>
      </c>
      <c r="R37">
        <v>1361.9</v>
      </c>
      <c r="S37">
        <v>1367.3</v>
      </c>
    </row>
    <row r="38" spans="1:19" x14ac:dyDescent="0.25">
      <c r="A38" s="2">
        <v>37</v>
      </c>
      <c r="B38" s="2">
        <v>20.511572629997694</v>
      </c>
      <c r="C38" s="2">
        <v>1347</v>
      </c>
      <c r="D38" s="2">
        <v>1935</v>
      </c>
      <c r="E38">
        <f t="shared" si="0"/>
        <v>588</v>
      </c>
      <c r="F38">
        <f t="shared" si="1"/>
        <v>58.8</v>
      </c>
      <c r="G38">
        <f t="shared" si="2"/>
        <v>1405.8</v>
      </c>
      <c r="H38">
        <f t="shared" si="3"/>
        <v>1523.4</v>
      </c>
      <c r="I38">
        <f t="shared" si="4"/>
        <v>1641</v>
      </c>
      <c r="J38">
        <f t="shared" si="5"/>
        <v>1758.6</v>
      </c>
      <c r="K38">
        <f t="shared" si="6"/>
        <v>1876.1999999999998</v>
      </c>
      <c r="N38" s="2">
        <v>37</v>
      </c>
      <c r="O38">
        <v>1405.8</v>
      </c>
      <c r="P38">
        <v>1523.4</v>
      </c>
      <c r="Q38">
        <v>1641</v>
      </c>
      <c r="R38">
        <v>1758.6</v>
      </c>
      <c r="S38">
        <v>1876.1999999999998</v>
      </c>
    </row>
    <row r="39" spans="1:19" x14ac:dyDescent="0.25">
      <c r="A39" s="2">
        <v>38</v>
      </c>
      <c r="B39" s="2">
        <v>18.539306063754868</v>
      </c>
      <c r="C39" s="2">
        <v>1286</v>
      </c>
      <c r="D39" s="2">
        <v>1913</v>
      </c>
      <c r="E39">
        <f t="shared" si="0"/>
        <v>627</v>
      </c>
      <c r="F39">
        <f t="shared" si="1"/>
        <v>62.7</v>
      </c>
      <c r="G39">
        <f t="shared" si="2"/>
        <v>1348.7</v>
      </c>
      <c r="H39">
        <f t="shared" si="3"/>
        <v>1474.1</v>
      </c>
      <c r="I39">
        <f t="shared" si="4"/>
        <v>1599.5</v>
      </c>
      <c r="J39">
        <f t="shared" si="5"/>
        <v>1724.9</v>
      </c>
      <c r="K39">
        <f t="shared" si="6"/>
        <v>1850.3000000000002</v>
      </c>
      <c r="N39" s="2">
        <v>38</v>
      </c>
      <c r="O39">
        <v>1348.7</v>
      </c>
      <c r="P39">
        <v>1474.1</v>
      </c>
      <c r="Q39">
        <v>1599.5</v>
      </c>
      <c r="R39">
        <v>1724.9</v>
      </c>
      <c r="S39">
        <v>1850.3000000000002</v>
      </c>
    </row>
    <row r="40" spans="1:19" x14ac:dyDescent="0.25">
      <c r="A40" s="2">
        <v>39</v>
      </c>
      <c r="B40" s="2">
        <v>49.247458523494785</v>
      </c>
      <c r="C40" s="2">
        <v>1318</v>
      </c>
      <c r="D40" s="2">
        <v>1917</v>
      </c>
      <c r="E40">
        <f t="shared" si="0"/>
        <v>599</v>
      </c>
      <c r="F40">
        <f t="shared" si="1"/>
        <v>59.9</v>
      </c>
      <c r="G40">
        <f t="shared" si="2"/>
        <v>1377.9</v>
      </c>
      <c r="H40">
        <f t="shared" si="3"/>
        <v>1497.7</v>
      </c>
      <c r="I40">
        <f t="shared" si="4"/>
        <v>1617.5</v>
      </c>
      <c r="J40">
        <f t="shared" si="5"/>
        <v>1737.3</v>
      </c>
      <c r="K40">
        <f t="shared" si="6"/>
        <v>1857.1</v>
      </c>
      <c r="N40" s="2">
        <v>39</v>
      </c>
      <c r="O40">
        <v>1377.9</v>
      </c>
      <c r="P40">
        <v>1497.7</v>
      </c>
      <c r="Q40">
        <v>1617.5</v>
      </c>
      <c r="R40">
        <v>1737.3</v>
      </c>
      <c r="S40">
        <v>1857.1</v>
      </c>
    </row>
    <row r="41" spans="1:19" x14ac:dyDescent="0.25">
      <c r="A41" s="2">
        <v>40</v>
      </c>
      <c r="B41" s="2">
        <v>9.768294321997395</v>
      </c>
      <c r="C41" s="2">
        <v>1266</v>
      </c>
      <c r="D41" s="2">
        <v>1379</v>
      </c>
      <c r="E41">
        <f t="shared" si="0"/>
        <v>113</v>
      </c>
      <c r="F41">
        <f t="shared" si="1"/>
        <v>11.3</v>
      </c>
      <c r="G41">
        <f t="shared" si="2"/>
        <v>1277.3</v>
      </c>
      <c r="H41">
        <f t="shared" si="3"/>
        <v>1299.9000000000001</v>
      </c>
      <c r="I41">
        <f t="shared" si="4"/>
        <v>1322.5</v>
      </c>
      <c r="J41">
        <f t="shared" si="5"/>
        <v>1345.1</v>
      </c>
      <c r="K41">
        <f t="shared" si="6"/>
        <v>1367.7</v>
      </c>
      <c r="N41" s="2">
        <v>40</v>
      </c>
      <c r="O41">
        <v>1277.3</v>
      </c>
      <c r="P41">
        <v>1299.9000000000001</v>
      </c>
      <c r="Q41">
        <v>1322.5</v>
      </c>
      <c r="R41">
        <v>1345.1</v>
      </c>
      <c r="S41">
        <v>1367.7</v>
      </c>
    </row>
    <row r="42" spans="1:19" x14ac:dyDescent="0.25">
      <c r="A42" s="2">
        <v>41</v>
      </c>
      <c r="B42" s="2">
        <v>16.903824130091706</v>
      </c>
      <c r="C42" s="2">
        <v>1300</v>
      </c>
      <c r="D42" s="2">
        <v>1456</v>
      </c>
      <c r="E42">
        <f t="shared" si="0"/>
        <v>156</v>
      </c>
      <c r="F42">
        <f t="shared" si="1"/>
        <v>15.6</v>
      </c>
      <c r="G42">
        <f t="shared" si="2"/>
        <v>1315.6</v>
      </c>
      <c r="H42">
        <f t="shared" si="3"/>
        <v>1346.8</v>
      </c>
      <c r="I42">
        <f t="shared" si="4"/>
        <v>1378</v>
      </c>
      <c r="J42">
        <f t="shared" si="5"/>
        <v>1409.2</v>
      </c>
      <c r="K42">
        <f t="shared" si="6"/>
        <v>1440.4</v>
      </c>
      <c r="N42" s="2">
        <v>41</v>
      </c>
      <c r="O42">
        <v>1315.6</v>
      </c>
      <c r="P42">
        <v>1346.8</v>
      </c>
      <c r="Q42">
        <v>1378</v>
      </c>
      <c r="R42">
        <v>1409.2</v>
      </c>
      <c r="S42">
        <v>1440.4</v>
      </c>
    </row>
    <row r="43" spans="1:19" x14ac:dyDescent="0.25">
      <c r="A43" s="2">
        <v>42</v>
      </c>
      <c r="B43" s="2">
        <v>41.556772232192891</v>
      </c>
      <c r="C43" s="2">
        <v>1267</v>
      </c>
      <c r="D43" s="2">
        <v>1465</v>
      </c>
      <c r="E43">
        <f t="shared" si="0"/>
        <v>198</v>
      </c>
      <c r="F43">
        <f t="shared" si="1"/>
        <v>19.8</v>
      </c>
      <c r="G43">
        <f t="shared" si="2"/>
        <v>1286.8</v>
      </c>
      <c r="H43">
        <f t="shared" si="3"/>
        <v>1326.4</v>
      </c>
      <c r="I43">
        <f t="shared" si="4"/>
        <v>1366</v>
      </c>
      <c r="J43">
        <f t="shared" si="5"/>
        <v>1405.6</v>
      </c>
      <c r="K43">
        <f t="shared" si="6"/>
        <v>1445.2</v>
      </c>
      <c r="N43" s="2">
        <v>42</v>
      </c>
      <c r="O43">
        <v>1286.8</v>
      </c>
      <c r="P43">
        <v>1326.4</v>
      </c>
      <c r="Q43">
        <v>1366</v>
      </c>
      <c r="R43">
        <v>1405.6</v>
      </c>
      <c r="S43">
        <v>1445.2</v>
      </c>
    </row>
    <row r="44" spans="1:19" x14ac:dyDescent="0.25">
      <c r="A44" s="2">
        <v>43</v>
      </c>
      <c r="B44" s="2">
        <v>13.379118480990011</v>
      </c>
      <c r="C44" s="2">
        <v>1296</v>
      </c>
      <c r="D44" s="2">
        <v>1484</v>
      </c>
      <c r="E44">
        <f t="shared" si="0"/>
        <v>188</v>
      </c>
      <c r="F44">
        <f t="shared" si="1"/>
        <v>18.8</v>
      </c>
      <c r="G44">
        <f t="shared" si="2"/>
        <v>1314.8</v>
      </c>
      <c r="H44">
        <f t="shared" si="3"/>
        <v>1352.4</v>
      </c>
      <c r="I44">
        <f t="shared" si="4"/>
        <v>1390</v>
      </c>
      <c r="J44">
        <f t="shared" si="5"/>
        <v>1427.6</v>
      </c>
      <c r="K44">
        <f t="shared" si="6"/>
        <v>1465.2</v>
      </c>
      <c r="N44" s="2">
        <v>43</v>
      </c>
      <c r="O44">
        <v>1314.8</v>
      </c>
      <c r="P44">
        <v>1352.4</v>
      </c>
      <c r="Q44">
        <v>1390</v>
      </c>
      <c r="R44">
        <v>1427.6</v>
      </c>
      <c r="S44">
        <v>1465.2</v>
      </c>
    </row>
    <row r="45" spans="1:19" x14ac:dyDescent="0.25">
      <c r="A45" s="2">
        <v>44</v>
      </c>
      <c r="B45" s="2">
        <v>13.476001746386725</v>
      </c>
      <c r="C45" s="2">
        <v>1364</v>
      </c>
      <c r="D45" s="2">
        <v>1701</v>
      </c>
      <c r="E45">
        <f t="shared" si="0"/>
        <v>337</v>
      </c>
      <c r="F45">
        <f t="shared" si="1"/>
        <v>33.700000000000003</v>
      </c>
      <c r="G45">
        <f t="shared" si="2"/>
        <v>1397.7</v>
      </c>
      <c r="H45">
        <f t="shared" si="3"/>
        <v>1465.1</v>
      </c>
      <c r="I45">
        <f t="shared" si="4"/>
        <v>1532.5</v>
      </c>
      <c r="J45">
        <f t="shared" si="5"/>
        <v>1599.9</v>
      </c>
      <c r="K45">
        <f t="shared" si="6"/>
        <v>1667.3</v>
      </c>
      <c r="N45" s="2">
        <v>44</v>
      </c>
      <c r="O45">
        <v>1397.7</v>
      </c>
      <c r="P45">
        <v>1465.1</v>
      </c>
      <c r="Q45">
        <v>1532.5</v>
      </c>
      <c r="R45">
        <v>1599.9</v>
      </c>
      <c r="S45">
        <v>1667.3</v>
      </c>
    </row>
    <row r="46" spans="1:19" x14ac:dyDescent="0.25">
      <c r="A46" s="2">
        <v>45</v>
      </c>
      <c r="B46" s="2">
        <v>12.374146746100664</v>
      </c>
      <c r="C46" s="2">
        <v>1300</v>
      </c>
      <c r="D46" s="2">
        <v>1636</v>
      </c>
      <c r="E46">
        <f t="shared" si="0"/>
        <v>336</v>
      </c>
      <c r="F46">
        <f t="shared" si="1"/>
        <v>33.6</v>
      </c>
      <c r="G46">
        <f t="shared" si="2"/>
        <v>1333.6</v>
      </c>
      <c r="H46">
        <f t="shared" si="3"/>
        <v>1400.8</v>
      </c>
      <c r="I46">
        <f t="shared" si="4"/>
        <v>1468</v>
      </c>
      <c r="J46">
        <f t="shared" si="5"/>
        <v>1535.2</v>
      </c>
      <c r="K46">
        <f t="shared" si="6"/>
        <v>1602.4</v>
      </c>
      <c r="N46" s="2">
        <v>45</v>
      </c>
      <c r="O46">
        <v>1333.6</v>
      </c>
      <c r="P46">
        <v>1400.8</v>
      </c>
      <c r="Q46">
        <v>1468</v>
      </c>
      <c r="R46">
        <v>1535.2</v>
      </c>
      <c r="S46">
        <v>1602.4</v>
      </c>
    </row>
    <row r="47" spans="1:19" x14ac:dyDescent="0.25">
      <c r="A47" s="2">
        <v>46</v>
      </c>
      <c r="B47" s="2">
        <v>9.6414233936751863</v>
      </c>
      <c r="C47" s="2">
        <v>1294</v>
      </c>
      <c r="D47" s="2">
        <v>1573</v>
      </c>
      <c r="E47">
        <f t="shared" si="0"/>
        <v>279</v>
      </c>
      <c r="F47">
        <f t="shared" si="1"/>
        <v>27.9</v>
      </c>
      <c r="G47">
        <f t="shared" si="2"/>
        <v>1321.9</v>
      </c>
      <c r="H47">
        <f t="shared" si="3"/>
        <v>1377.7</v>
      </c>
      <c r="I47">
        <f t="shared" si="4"/>
        <v>1433.5</v>
      </c>
      <c r="J47">
        <f t="shared" si="5"/>
        <v>1489.3</v>
      </c>
      <c r="K47">
        <f t="shared" si="6"/>
        <v>1545.1</v>
      </c>
      <c r="N47" s="2">
        <v>46</v>
      </c>
      <c r="O47">
        <v>1321.9</v>
      </c>
      <c r="P47">
        <v>1377.7</v>
      </c>
      <c r="Q47">
        <v>1433.5</v>
      </c>
      <c r="R47">
        <v>1489.3</v>
      </c>
      <c r="S47">
        <v>1545.1</v>
      </c>
    </row>
    <row r="48" spans="1:19" x14ac:dyDescent="0.25">
      <c r="A48" s="2">
        <v>47</v>
      </c>
      <c r="B48" s="2">
        <v>17.701957750486635</v>
      </c>
      <c r="C48" s="2">
        <v>1279</v>
      </c>
      <c r="D48" s="2">
        <v>1365</v>
      </c>
      <c r="E48">
        <f t="shared" si="0"/>
        <v>86</v>
      </c>
      <c r="F48">
        <f t="shared" si="1"/>
        <v>8.6</v>
      </c>
      <c r="G48">
        <f t="shared" si="2"/>
        <v>1287.5999999999999</v>
      </c>
      <c r="H48">
        <f t="shared" si="3"/>
        <v>1304.8</v>
      </c>
      <c r="I48">
        <f t="shared" si="4"/>
        <v>1322</v>
      </c>
      <c r="J48">
        <f t="shared" si="5"/>
        <v>1339.2</v>
      </c>
      <c r="K48">
        <f t="shared" si="6"/>
        <v>1356.4</v>
      </c>
      <c r="N48" s="2">
        <v>47</v>
      </c>
      <c r="O48">
        <v>1287.5999999999999</v>
      </c>
      <c r="P48">
        <v>1304.8</v>
      </c>
      <c r="Q48">
        <v>1322</v>
      </c>
      <c r="R48">
        <v>1339.2</v>
      </c>
      <c r="S48">
        <v>1356.4</v>
      </c>
    </row>
    <row r="49" spans="1:19" x14ac:dyDescent="0.25">
      <c r="A49" s="2">
        <v>48</v>
      </c>
      <c r="B49" s="2">
        <v>0.66357351524024155</v>
      </c>
      <c r="C49" s="2">
        <v>1298</v>
      </c>
      <c r="D49" s="2">
        <v>1314</v>
      </c>
      <c r="E49">
        <f t="shared" si="0"/>
        <v>16</v>
      </c>
      <c r="F49">
        <f t="shared" si="1"/>
        <v>1.6</v>
      </c>
      <c r="G49">
        <f t="shared" si="2"/>
        <v>1299.5999999999999</v>
      </c>
      <c r="H49">
        <f t="shared" si="3"/>
        <v>1302.8</v>
      </c>
      <c r="I49">
        <f t="shared" si="4"/>
        <v>1306</v>
      </c>
      <c r="J49">
        <f t="shared" si="5"/>
        <v>1309.2</v>
      </c>
      <c r="K49">
        <f t="shared" si="6"/>
        <v>1312.4</v>
      </c>
      <c r="N49" s="2">
        <v>48</v>
      </c>
      <c r="O49">
        <v>1299.5999999999999</v>
      </c>
      <c r="P49">
        <v>1302.8</v>
      </c>
      <c r="Q49">
        <v>1306</v>
      </c>
      <c r="R49">
        <v>1309.2</v>
      </c>
      <c r="S49">
        <v>1312.4</v>
      </c>
    </row>
    <row r="50" spans="1:19" x14ac:dyDescent="0.25">
      <c r="A50" s="2">
        <v>49</v>
      </c>
      <c r="B50" s="2">
        <v>5.8422150275694849</v>
      </c>
      <c r="C50" s="2">
        <v>1291</v>
      </c>
      <c r="D50" s="2">
        <v>1413</v>
      </c>
      <c r="E50">
        <f t="shared" si="0"/>
        <v>122</v>
      </c>
      <c r="F50">
        <f t="shared" si="1"/>
        <v>12.2</v>
      </c>
      <c r="G50">
        <f t="shared" si="2"/>
        <v>1303.2</v>
      </c>
      <c r="H50">
        <f t="shared" si="3"/>
        <v>1327.6</v>
      </c>
      <c r="I50">
        <f t="shared" si="4"/>
        <v>1352</v>
      </c>
      <c r="J50">
        <f t="shared" si="5"/>
        <v>1376.4</v>
      </c>
      <c r="K50">
        <f t="shared" si="6"/>
        <v>1400.8</v>
      </c>
      <c r="N50" s="2">
        <v>49</v>
      </c>
      <c r="O50">
        <v>1303.2</v>
      </c>
      <c r="P50">
        <v>1327.6</v>
      </c>
      <c r="Q50">
        <v>1352</v>
      </c>
      <c r="R50">
        <v>1376.4</v>
      </c>
      <c r="S50">
        <v>1400.8</v>
      </c>
    </row>
    <row r="51" spans="1:19" x14ac:dyDescent="0.25">
      <c r="A51" s="2">
        <v>50</v>
      </c>
      <c r="B51" s="2">
        <v>48.871459250729075</v>
      </c>
      <c r="C51" s="2">
        <v>1425</v>
      </c>
      <c r="D51" s="2">
        <v>2044</v>
      </c>
      <c r="E51">
        <f t="shared" si="0"/>
        <v>619</v>
      </c>
      <c r="F51">
        <f t="shared" si="1"/>
        <v>61.9</v>
      </c>
      <c r="G51">
        <f t="shared" si="2"/>
        <v>1486.9</v>
      </c>
      <c r="H51">
        <f t="shared" si="3"/>
        <v>1610.7</v>
      </c>
      <c r="I51">
        <f t="shared" si="4"/>
        <v>1734.5</v>
      </c>
      <c r="J51">
        <f t="shared" si="5"/>
        <v>1858.3</v>
      </c>
      <c r="K51">
        <f t="shared" si="6"/>
        <v>1982.1</v>
      </c>
      <c r="N51" s="2">
        <v>50</v>
      </c>
      <c r="O51">
        <v>1486.9</v>
      </c>
      <c r="P51">
        <v>1610.7</v>
      </c>
      <c r="Q51">
        <v>1734.5</v>
      </c>
      <c r="R51">
        <v>1858.3</v>
      </c>
      <c r="S51">
        <v>1982.1</v>
      </c>
    </row>
    <row r="52" spans="1:19" x14ac:dyDescent="0.25">
      <c r="A52" s="2">
        <v>51</v>
      </c>
      <c r="B52" s="2">
        <v>14.423304864385246</v>
      </c>
      <c r="C52" s="2">
        <v>1268</v>
      </c>
      <c r="D52" s="2">
        <v>1453</v>
      </c>
      <c r="E52">
        <f t="shared" si="0"/>
        <v>185</v>
      </c>
      <c r="F52">
        <f t="shared" si="1"/>
        <v>18.5</v>
      </c>
      <c r="G52">
        <f t="shared" si="2"/>
        <v>1286.5</v>
      </c>
      <c r="H52">
        <f t="shared" si="3"/>
        <v>1323.5</v>
      </c>
      <c r="I52">
        <f t="shared" si="4"/>
        <v>1360.5</v>
      </c>
      <c r="J52">
        <f t="shared" si="5"/>
        <v>1397.5</v>
      </c>
      <c r="K52">
        <f t="shared" si="6"/>
        <v>1434.5</v>
      </c>
      <c r="N52" s="2">
        <v>51</v>
      </c>
      <c r="O52">
        <v>1286.5</v>
      </c>
      <c r="P52">
        <v>1323.5</v>
      </c>
      <c r="Q52">
        <v>1360.5</v>
      </c>
      <c r="R52">
        <v>1397.5</v>
      </c>
      <c r="S52">
        <v>1434.5</v>
      </c>
    </row>
    <row r="53" spans="1:19" x14ac:dyDescent="0.25">
      <c r="A53" s="2">
        <v>52</v>
      </c>
      <c r="B53" s="2">
        <v>1.8453956878335442</v>
      </c>
      <c r="C53" s="2">
        <v>1278</v>
      </c>
      <c r="D53" s="2">
        <v>1293</v>
      </c>
      <c r="E53">
        <f t="shared" si="0"/>
        <v>15</v>
      </c>
      <c r="F53">
        <f t="shared" si="1"/>
        <v>1.5</v>
      </c>
      <c r="G53">
        <f t="shared" si="2"/>
        <v>1279.5</v>
      </c>
      <c r="H53">
        <f t="shared" si="3"/>
        <v>1282.5</v>
      </c>
      <c r="I53">
        <f t="shared" si="4"/>
        <v>1285.5</v>
      </c>
      <c r="J53">
        <f t="shared" si="5"/>
        <v>1288.5</v>
      </c>
      <c r="K53">
        <f t="shared" si="6"/>
        <v>1291.5</v>
      </c>
      <c r="N53" s="2">
        <v>52</v>
      </c>
      <c r="O53">
        <v>1279.5</v>
      </c>
      <c r="P53">
        <v>1282.5</v>
      </c>
      <c r="Q53">
        <v>1285.5</v>
      </c>
      <c r="R53">
        <v>1288.5</v>
      </c>
      <c r="S53">
        <v>1291.5</v>
      </c>
    </row>
    <row r="54" spans="1:19" x14ac:dyDescent="0.25">
      <c r="A54" s="2">
        <v>53</v>
      </c>
      <c r="B54" s="2">
        <v>0.30910376734827955</v>
      </c>
      <c r="C54" s="2">
        <v>1257</v>
      </c>
      <c r="D54" s="2">
        <v>1288</v>
      </c>
      <c r="E54">
        <f t="shared" si="0"/>
        <v>31</v>
      </c>
      <c r="F54">
        <f t="shared" si="1"/>
        <v>3.1</v>
      </c>
      <c r="G54">
        <f t="shared" si="2"/>
        <v>1260.0999999999999</v>
      </c>
      <c r="H54">
        <f t="shared" si="3"/>
        <v>1266.3</v>
      </c>
      <c r="I54">
        <f t="shared" si="4"/>
        <v>1272.5</v>
      </c>
      <c r="J54">
        <f t="shared" si="5"/>
        <v>1278.7</v>
      </c>
      <c r="K54">
        <f t="shared" si="6"/>
        <v>1284.9000000000001</v>
      </c>
      <c r="N54" s="2">
        <v>53</v>
      </c>
      <c r="O54">
        <v>1260.0999999999999</v>
      </c>
      <c r="P54">
        <v>1266.3</v>
      </c>
      <c r="Q54">
        <v>1272.5</v>
      </c>
      <c r="R54">
        <v>1278.7</v>
      </c>
      <c r="S54">
        <v>1284.9000000000001</v>
      </c>
    </row>
    <row r="55" spans="1:19" x14ac:dyDescent="0.25">
      <c r="A55" s="2">
        <v>54</v>
      </c>
      <c r="B55" s="2">
        <v>0.79352009155760028</v>
      </c>
      <c r="C55" s="2">
        <v>1264</v>
      </c>
      <c r="D55" s="2">
        <v>1298</v>
      </c>
      <c r="E55">
        <f t="shared" si="0"/>
        <v>34</v>
      </c>
      <c r="F55">
        <f t="shared" si="1"/>
        <v>3.4</v>
      </c>
      <c r="G55">
        <f t="shared" si="2"/>
        <v>1267.4000000000001</v>
      </c>
      <c r="H55">
        <f t="shared" si="3"/>
        <v>1274.2</v>
      </c>
      <c r="I55">
        <f t="shared" si="4"/>
        <v>1281</v>
      </c>
      <c r="J55">
        <f t="shared" si="5"/>
        <v>1287.8</v>
      </c>
      <c r="K55">
        <f t="shared" si="6"/>
        <v>1294.5999999999999</v>
      </c>
      <c r="N55" s="2">
        <v>54</v>
      </c>
      <c r="O55">
        <v>1267.4000000000001</v>
      </c>
      <c r="P55">
        <v>1274.2</v>
      </c>
      <c r="Q55">
        <v>1281</v>
      </c>
      <c r="R55">
        <v>1287.8</v>
      </c>
      <c r="S55">
        <v>1294.5999999999999</v>
      </c>
    </row>
    <row r="56" spans="1:19" x14ac:dyDescent="0.25">
      <c r="A56" s="2">
        <v>55</v>
      </c>
      <c r="B56" s="2">
        <v>1.1187711100129585</v>
      </c>
      <c r="C56" s="2">
        <v>1247</v>
      </c>
      <c r="D56" s="2">
        <v>1295</v>
      </c>
      <c r="E56">
        <f t="shared" si="0"/>
        <v>48</v>
      </c>
      <c r="F56">
        <f t="shared" si="1"/>
        <v>4.8</v>
      </c>
      <c r="G56">
        <f t="shared" si="2"/>
        <v>1251.8</v>
      </c>
      <c r="H56">
        <f t="shared" si="3"/>
        <v>1261.4000000000001</v>
      </c>
      <c r="I56">
        <f t="shared" si="4"/>
        <v>1271</v>
      </c>
      <c r="J56">
        <f t="shared" si="5"/>
        <v>1280.5999999999999</v>
      </c>
      <c r="K56">
        <f t="shared" si="6"/>
        <v>1290.2</v>
      </c>
      <c r="N56" s="2">
        <v>55</v>
      </c>
      <c r="O56">
        <v>1251.8</v>
      </c>
      <c r="P56">
        <v>1261.4000000000001</v>
      </c>
      <c r="Q56">
        <v>1271</v>
      </c>
      <c r="R56">
        <v>1280.5999999999999</v>
      </c>
      <c r="S56">
        <v>1290.2</v>
      </c>
    </row>
    <row r="57" spans="1:19" x14ac:dyDescent="0.25">
      <c r="A57" s="2">
        <v>56</v>
      </c>
      <c r="B57" s="2">
        <v>10.31653058404479</v>
      </c>
      <c r="C57" s="2">
        <v>1272</v>
      </c>
      <c r="D57" s="2">
        <v>1559</v>
      </c>
      <c r="E57">
        <f t="shared" si="0"/>
        <v>287</v>
      </c>
      <c r="F57">
        <f t="shared" si="1"/>
        <v>28.7</v>
      </c>
      <c r="G57">
        <f t="shared" si="2"/>
        <v>1300.7</v>
      </c>
      <c r="H57">
        <f t="shared" si="3"/>
        <v>1358.1</v>
      </c>
      <c r="I57">
        <f t="shared" si="4"/>
        <v>1415.5</v>
      </c>
      <c r="J57">
        <f t="shared" si="5"/>
        <v>1472.9</v>
      </c>
      <c r="K57">
        <f t="shared" si="6"/>
        <v>1530.3</v>
      </c>
      <c r="N57" s="2">
        <v>56</v>
      </c>
      <c r="O57">
        <v>1300.7</v>
      </c>
      <c r="P57">
        <v>1358.1</v>
      </c>
      <c r="Q57">
        <v>1415.5</v>
      </c>
      <c r="R57">
        <v>1472.9</v>
      </c>
      <c r="S57">
        <v>1530.3</v>
      </c>
    </row>
    <row r="58" spans="1:19" x14ac:dyDescent="0.25">
      <c r="A58" s="2">
        <v>57</v>
      </c>
      <c r="B58" s="2">
        <v>6.7702952520118664</v>
      </c>
      <c r="C58" s="2">
        <v>1281</v>
      </c>
      <c r="D58" s="2">
        <v>1305</v>
      </c>
      <c r="E58">
        <f t="shared" si="0"/>
        <v>24</v>
      </c>
      <c r="F58">
        <f t="shared" si="1"/>
        <v>2.4</v>
      </c>
      <c r="G58">
        <f t="shared" si="2"/>
        <v>1283.4000000000001</v>
      </c>
      <c r="H58">
        <f t="shared" si="3"/>
        <v>1288.2</v>
      </c>
      <c r="I58">
        <f t="shared" si="4"/>
        <v>1293</v>
      </c>
      <c r="J58">
        <f t="shared" si="5"/>
        <v>1297.8</v>
      </c>
      <c r="K58">
        <f t="shared" si="6"/>
        <v>1302.5999999999999</v>
      </c>
      <c r="N58" s="2">
        <v>57</v>
      </c>
      <c r="O58">
        <v>1283.4000000000001</v>
      </c>
      <c r="P58">
        <v>1288.2</v>
      </c>
      <c r="Q58">
        <v>1293</v>
      </c>
      <c r="R58">
        <v>1297.8</v>
      </c>
      <c r="S58">
        <v>1302.5999999999999</v>
      </c>
    </row>
    <row r="59" spans="1:19" x14ac:dyDescent="0.25">
      <c r="A59" s="2">
        <v>58</v>
      </c>
      <c r="B59" s="2">
        <v>23.20738808169887</v>
      </c>
      <c r="C59" s="2">
        <v>1278</v>
      </c>
      <c r="D59" s="2">
        <v>1624</v>
      </c>
      <c r="E59">
        <f t="shared" si="0"/>
        <v>346</v>
      </c>
      <c r="F59">
        <f t="shared" si="1"/>
        <v>34.6</v>
      </c>
      <c r="G59">
        <f t="shared" si="2"/>
        <v>1312.6</v>
      </c>
      <c r="H59">
        <f t="shared" si="3"/>
        <v>1381.8</v>
      </c>
      <c r="I59">
        <f t="shared" si="4"/>
        <v>1451</v>
      </c>
      <c r="J59">
        <f t="shared" si="5"/>
        <v>1520.2</v>
      </c>
      <c r="K59">
        <f t="shared" si="6"/>
        <v>1589.4</v>
      </c>
      <c r="N59" s="2">
        <v>58</v>
      </c>
      <c r="O59">
        <v>1312.6</v>
      </c>
      <c r="P59">
        <v>1381.8</v>
      </c>
      <c r="Q59">
        <v>1451</v>
      </c>
      <c r="R59">
        <v>1520.2</v>
      </c>
      <c r="S59">
        <v>1589.4</v>
      </c>
    </row>
    <row r="60" spans="1:19" x14ac:dyDescent="0.25">
      <c r="A60" s="2">
        <v>59</v>
      </c>
      <c r="B60" s="2">
        <v>23.294275455756317</v>
      </c>
      <c r="C60" s="2">
        <v>1286</v>
      </c>
      <c r="D60" s="2">
        <v>1936</v>
      </c>
      <c r="E60">
        <f t="shared" si="0"/>
        <v>650</v>
      </c>
      <c r="F60">
        <f t="shared" si="1"/>
        <v>65</v>
      </c>
      <c r="G60">
        <f t="shared" si="2"/>
        <v>1351</v>
      </c>
      <c r="H60">
        <f t="shared" si="3"/>
        <v>1481</v>
      </c>
      <c r="I60">
        <f t="shared" si="4"/>
        <v>1611</v>
      </c>
      <c r="J60">
        <f t="shared" si="5"/>
        <v>1741</v>
      </c>
      <c r="K60">
        <f t="shared" si="6"/>
        <v>1871</v>
      </c>
      <c r="N60" s="2">
        <v>59</v>
      </c>
      <c r="O60">
        <v>1351</v>
      </c>
      <c r="P60">
        <v>1481</v>
      </c>
      <c r="Q60">
        <v>1611</v>
      </c>
      <c r="R60">
        <v>1741</v>
      </c>
      <c r="S60">
        <v>1871</v>
      </c>
    </row>
    <row r="61" spans="1:19" x14ac:dyDescent="0.25">
      <c r="A61" s="2">
        <v>60</v>
      </c>
      <c r="B61" s="2">
        <v>12.960059903365298</v>
      </c>
      <c r="C61" s="2">
        <v>1279</v>
      </c>
      <c r="D61" s="2">
        <v>1983</v>
      </c>
      <c r="E61">
        <f t="shared" si="0"/>
        <v>704</v>
      </c>
      <c r="F61">
        <f t="shared" si="1"/>
        <v>70.400000000000006</v>
      </c>
      <c r="G61">
        <f t="shared" si="2"/>
        <v>1349.4</v>
      </c>
      <c r="H61">
        <f t="shared" si="3"/>
        <v>1490.2</v>
      </c>
      <c r="I61">
        <f t="shared" si="4"/>
        <v>1631</v>
      </c>
      <c r="J61">
        <f t="shared" si="5"/>
        <v>1771.8000000000002</v>
      </c>
      <c r="K61">
        <f t="shared" si="6"/>
        <v>1912.6</v>
      </c>
      <c r="N61" s="2">
        <v>60</v>
      </c>
      <c r="O61">
        <v>1349.4</v>
      </c>
      <c r="P61">
        <v>1490.2</v>
      </c>
      <c r="Q61">
        <v>1631</v>
      </c>
      <c r="R61">
        <v>1771.8000000000002</v>
      </c>
      <c r="S61">
        <v>1912.6</v>
      </c>
    </row>
    <row r="62" spans="1:19" x14ac:dyDescent="0.25">
      <c r="A62" s="2">
        <v>61</v>
      </c>
      <c r="B62" s="2">
        <v>32.433597445958291</v>
      </c>
      <c r="C62" s="2">
        <v>1279</v>
      </c>
      <c r="D62" s="2">
        <v>1866</v>
      </c>
      <c r="E62">
        <f t="shared" si="0"/>
        <v>587</v>
      </c>
      <c r="F62">
        <f t="shared" si="1"/>
        <v>58.7</v>
      </c>
      <c r="G62">
        <f t="shared" si="2"/>
        <v>1337.7</v>
      </c>
      <c r="H62">
        <f t="shared" si="3"/>
        <v>1455.1</v>
      </c>
      <c r="I62">
        <f t="shared" si="4"/>
        <v>1572.5</v>
      </c>
      <c r="J62">
        <f t="shared" si="5"/>
        <v>1689.9</v>
      </c>
      <c r="K62">
        <f t="shared" si="6"/>
        <v>1807.3000000000002</v>
      </c>
      <c r="N62" s="2">
        <v>61</v>
      </c>
      <c r="O62">
        <v>1337.7</v>
      </c>
      <c r="P62">
        <v>1455.1</v>
      </c>
      <c r="Q62">
        <v>1572.5</v>
      </c>
      <c r="R62">
        <v>1689.9</v>
      </c>
      <c r="S62">
        <v>1807.3000000000002</v>
      </c>
    </row>
    <row r="63" spans="1:19" x14ac:dyDescent="0.25">
      <c r="A63" s="2">
        <v>62</v>
      </c>
      <c r="B63" s="2">
        <v>13.668230421293492</v>
      </c>
      <c r="C63" s="2">
        <v>1290</v>
      </c>
      <c r="D63" s="2">
        <v>2014</v>
      </c>
      <c r="E63">
        <f t="shared" si="0"/>
        <v>724</v>
      </c>
      <c r="F63">
        <f t="shared" si="1"/>
        <v>72.400000000000006</v>
      </c>
      <c r="G63">
        <f t="shared" si="2"/>
        <v>1362.4</v>
      </c>
      <c r="H63">
        <f t="shared" si="3"/>
        <v>1507.2</v>
      </c>
      <c r="I63">
        <f t="shared" si="4"/>
        <v>1652</v>
      </c>
      <c r="J63">
        <f t="shared" si="5"/>
        <v>1796.8000000000002</v>
      </c>
      <c r="K63">
        <f t="shared" si="6"/>
        <v>1941.6</v>
      </c>
      <c r="N63" s="2">
        <v>62</v>
      </c>
      <c r="O63">
        <v>1362.4</v>
      </c>
      <c r="P63">
        <v>1507.2</v>
      </c>
      <c r="Q63">
        <v>1652</v>
      </c>
      <c r="R63">
        <v>1796.8000000000002</v>
      </c>
      <c r="S63">
        <v>1941.6</v>
      </c>
    </row>
    <row r="64" spans="1:19" x14ac:dyDescent="0.25">
      <c r="A64" s="2">
        <v>63</v>
      </c>
      <c r="B64" s="2">
        <v>19.758804923595353</v>
      </c>
      <c r="C64" s="2">
        <v>1273</v>
      </c>
      <c r="D64" s="2">
        <v>1707</v>
      </c>
      <c r="E64">
        <f t="shared" si="0"/>
        <v>434</v>
      </c>
      <c r="F64">
        <f t="shared" si="1"/>
        <v>43.4</v>
      </c>
      <c r="G64">
        <f t="shared" si="2"/>
        <v>1316.4</v>
      </c>
      <c r="H64">
        <f t="shared" si="3"/>
        <v>1403.2</v>
      </c>
      <c r="I64">
        <f t="shared" si="4"/>
        <v>1490</v>
      </c>
      <c r="J64">
        <f t="shared" si="5"/>
        <v>1576.8</v>
      </c>
      <c r="K64">
        <f t="shared" si="6"/>
        <v>1663.6</v>
      </c>
      <c r="N64" s="2">
        <v>63</v>
      </c>
      <c r="O64">
        <v>1316.4</v>
      </c>
      <c r="P64">
        <v>1403.2</v>
      </c>
      <c r="Q64">
        <v>1490</v>
      </c>
      <c r="R64">
        <v>1576.8</v>
      </c>
      <c r="S64">
        <v>1663.6</v>
      </c>
    </row>
    <row r="65" spans="1:19" x14ac:dyDescent="0.25">
      <c r="A65" s="2">
        <v>64</v>
      </c>
      <c r="B65" s="2">
        <v>6.3612325795906415</v>
      </c>
      <c r="C65" s="2">
        <v>1287</v>
      </c>
      <c r="D65" s="2">
        <v>1469</v>
      </c>
      <c r="E65">
        <f t="shared" si="0"/>
        <v>182</v>
      </c>
      <c r="F65">
        <f t="shared" si="1"/>
        <v>18.2</v>
      </c>
      <c r="G65">
        <f t="shared" si="2"/>
        <v>1305.2</v>
      </c>
      <c r="H65">
        <f t="shared" si="3"/>
        <v>1341.6</v>
      </c>
      <c r="I65">
        <f t="shared" si="4"/>
        <v>1378</v>
      </c>
      <c r="J65">
        <f t="shared" si="5"/>
        <v>1414.4</v>
      </c>
      <c r="K65">
        <f t="shared" si="6"/>
        <v>1450.8</v>
      </c>
      <c r="N65" s="2">
        <v>64</v>
      </c>
      <c r="O65">
        <v>1305.2</v>
      </c>
      <c r="P65">
        <v>1341.6</v>
      </c>
      <c r="Q65">
        <v>1378</v>
      </c>
      <c r="R65">
        <v>1414.4</v>
      </c>
      <c r="S65">
        <v>1450.8</v>
      </c>
    </row>
    <row r="66" spans="1:19" x14ac:dyDescent="0.25">
      <c r="A66" s="2">
        <v>65</v>
      </c>
      <c r="B66" s="2">
        <v>34.708047516795261</v>
      </c>
      <c r="C66" s="2">
        <v>1362</v>
      </c>
      <c r="D66" s="2">
        <v>2011</v>
      </c>
      <c r="E66">
        <f t="shared" ref="E66:E89" si="7">+D66-C66</f>
        <v>649</v>
      </c>
      <c r="F66">
        <f t="shared" ref="F66:F89" si="8">+(D66-C66)/(5*2)</f>
        <v>64.900000000000006</v>
      </c>
      <c r="G66">
        <f t="shared" ref="G66:G89" si="9">+C66+1*F66</f>
        <v>1426.9</v>
      </c>
      <c r="H66">
        <f t="shared" ref="H66:H89" si="10">+C66+3*F66</f>
        <v>1556.7</v>
      </c>
      <c r="I66">
        <f t="shared" ref="I66:I89" si="11">+C66+5*F66</f>
        <v>1686.5</v>
      </c>
      <c r="J66">
        <f t="shared" ref="J66:J89" si="12">+C66+7*F66</f>
        <v>1816.3000000000002</v>
      </c>
      <c r="K66">
        <f t="shared" ref="K66:K89" si="13">+C66+9*F66</f>
        <v>1946.1</v>
      </c>
      <c r="N66" s="2">
        <v>65</v>
      </c>
      <c r="O66">
        <v>1426.9</v>
      </c>
      <c r="P66">
        <v>1556.7</v>
      </c>
      <c r="Q66">
        <v>1686.5</v>
      </c>
      <c r="R66">
        <v>1816.3000000000002</v>
      </c>
      <c r="S66">
        <v>1946.1</v>
      </c>
    </row>
    <row r="67" spans="1:19" x14ac:dyDescent="0.25">
      <c r="A67" s="2">
        <v>66</v>
      </c>
      <c r="B67" s="2">
        <v>11.612921007018732</v>
      </c>
      <c r="C67" s="2">
        <v>1349</v>
      </c>
      <c r="D67" s="2">
        <v>1716</v>
      </c>
      <c r="E67">
        <f t="shared" si="7"/>
        <v>367</v>
      </c>
      <c r="F67">
        <f t="shared" si="8"/>
        <v>36.700000000000003</v>
      </c>
      <c r="G67">
        <f t="shared" si="9"/>
        <v>1385.7</v>
      </c>
      <c r="H67">
        <f t="shared" si="10"/>
        <v>1459.1</v>
      </c>
      <c r="I67">
        <f t="shared" si="11"/>
        <v>1532.5</v>
      </c>
      <c r="J67">
        <f t="shared" si="12"/>
        <v>1605.9</v>
      </c>
      <c r="K67">
        <f t="shared" si="13"/>
        <v>1679.3</v>
      </c>
      <c r="N67" s="2">
        <v>66</v>
      </c>
      <c r="O67">
        <v>1385.7</v>
      </c>
      <c r="P67">
        <v>1459.1</v>
      </c>
      <c r="Q67">
        <v>1532.5</v>
      </c>
      <c r="R67">
        <v>1605.9</v>
      </c>
      <c r="S67">
        <v>1679.3</v>
      </c>
    </row>
    <row r="68" spans="1:19" x14ac:dyDescent="0.25">
      <c r="A68" s="2">
        <v>67</v>
      </c>
      <c r="B68" s="2">
        <v>15.864251281080451</v>
      </c>
      <c r="C68" s="2">
        <v>1303</v>
      </c>
      <c r="D68" s="2">
        <v>1916</v>
      </c>
      <c r="E68">
        <f t="shared" si="7"/>
        <v>613</v>
      </c>
      <c r="F68">
        <f t="shared" si="8"/>
        <v>61.3</v>
      </c>
      <c r="G68">
        <f t="shared" si="9"/>
        <v>1364.3</v>
      </c>
      <c r="H68">
        <f t="shared" si="10"/>
        <v>1486.9</v>
      </c>
      <c r="I68">
        <f t="shared" si="11"/>
        <v>1609.5</v>
      </c>
      <c r="J68">
        <f t="shared" si="12"/>
        <v>1732.1</v>
      </c>
      <c r="K68">
        <f t="shared" si="13"/>
        <v>1854.6999999999998</v>
      </c>
      <c r="N68" s="2">
        <v>67</v>
      </c>
      <c r="O68">
        <v>1364.3</v>
      </c>
      <c r="P68">
        <v>1486.9</v>
      </c>
      <c r="Q68">
        <v>1609.5</v>
      </c>
      <c r="R68">
        <v>1732.1</v>
      </c>
      <c r="S68">
        <v>1854.6999999999998</v>
      </c>
    </row>
    <row r="69" spans="1:19" x14ac:dyDescent="0.25">
      <c r="A69" s="2">
        <v>68</v>
      </c>
      <c r="B69" s="2">
        <v>24.931295170436616</v>
      </c>
      <c r="C69" s="2">
        <v>1392</v>
      </c>
      <c r="D69" s="2">
        <v>2044</v>
      </c>
      <c r="E69">
        <f t="shared" si="7"/>
        <v>652</v>
      </c>
      <c r="F69">
        <f t="shared" si="8"/>
        <v>65.2</v>
      </c>
      <c r="G69">
        <f t="shared" si="9"/>
        <v>1457.2</v>
      </c>
      <c r="H69">
        <f t="shared" si="10"/>
        <v>1587.6</v>
      </c>
      <c r="I69">
        <f t="shared" si="11"/>
        <v>1718</v>
      </c>
      <c r="J69">
        <f t="shared" si="12"/>
        <v>1848.4</v>
      </c>
      <c r="K69">
        <f t="shared" si="13"/>
        <v>1978.8000000000002</v>
      </c>
      <c r="N69" s="2">
        <v>68</v>
      </c>
      <c r="O69">
        <v>1457.2</v>
      </c>
      <c r="P69">
        <v>1587.6</v>
      </c>
      <c r="Q69">
        <v>1718</v>
      </c>
      <c r="R69">
        <v>1848.4</v>
      </c>
      <c r="S69">
        <v>1978.8000000000002</v>
      </c>
    </row>
    <row r="70" spans="1:19" x14ac:dyDescent="0.25">
      <c r="A70" s="2">
        <v>69</v>
      </c>
      <c r="B70" s="2">
        <v>13.028493303490727</v>
      </c>
      <c r="C70" s="2">
        <v>1299</v>
      </c>
      <c r="D70" s="2">
        <v>2218</v>
      </c>
      <c r="E70">
        <f t="shared" si="7"/>
        <v>919</v>
      </c>
      <c r="F70">
        <f t="shared" si="8"/>
        <v>91.9</v>
      </c>
      <c r="G70">
        <f t="shared" si="9"/>
        <v>1390.9</v>
      </c>
      <c r="H70">
        <f t="shared" si="10"/>
        <v>1574.7</v>
      </c>
      <c r="I70">
        <f t="shared" si="11"/>
        <v>1758.5</v>
      </c>
      <c r="J70">
        <f t="shared" si="12"/>
        <v>1942.3000000000002</v>
      </c>
      <c r="K70">
        <f t="shared" si="13"/>
        <v>2126.1</v>
      </c>
      <c r="N70" s="2">
        <v>69</v>
      </c>
      <c r="O70">
        <v>1390.9</v>
      </c>
      <c r="P70">
        <v>1574.7</v>
      </c>
      <c r="Q70">
        <v>1758.5</v>
      </c>
      <c r="R70">
        <v>1942.3000000000002</v>
      </c>
      <c r="S70">
        <v>2126.1</v>
      </c>
    </row>
    <row r="71" spans="1:19" x14ac:dyDescent="0.25">
      <c r="A71" s="2">
        <v>70</v>
      </c>
      <c r="B71" s="2">
        <v>27.972353453774382</v>
      </c>
      <c r="C71" s="2">
        <v>1282</v>
      </c>
      <c r="D71" s="2">
        <v>2276</v>
      </c>
      <c r="E71">
        <f t="shared" si="7"/>
        <v>994</v>
      </c>
      <c r="F71">
        <f t="shared" si="8"/>
        <v>99.4</v>
      </c>
      <c r="G71">
        <f t="shared" si="9"/>
        <v>1381.4</v>
      </c>
      <c r="H71">
        <f t="shared" si="10"/>
        <v>1580.2</v>
      </c>
      <c r="I71">
        <f t="shared" si="11"/>
        <v>1779</v>
      </c>
      <c r="J71">
        <f t="shared" si="12"/>
        <v>1977.8000000000002</v>
      </c>
      <c r="K71">
        <f t="shared" si="13"/>
        <v>2176.6</v>
      </c>
      <c r="N71" s="2">
        <v>70</v>
      </c>
      <c r="O71">
        <v>1381.4</v>
      </c>
      <c r="P71">
        <v>1580.2</v>
      </c>
      <c r="Q71">
        <v>1779</v>
      </c>
      <c r="R71">
        <v>1977.8000000000002</v>
      </c>
      <c r="S71">
        <v>2176.6</v>
      </c>
    </row>
    <row r="72" spans="1:19" x14ac:dyDescent="0.25">
      <c r="A72" s="2">
        <v>71</v>
      </c>
      <c r="B72" s="2">
        <v>20.827596615733906</v>
      </c>
      <c r="C72" s="2">
        <v>1392</v>
      </c>
      <c r="D72" s="2">
        <v>2025</v>
      </c>
      <c r="E72">
        <f t="shared" si="7"/>
        <v>633</v>
      </c>
      <c r="F72">
        <f t="shared" si="8"/>
        <v>63.3</v>
      </c>
      <c r="G72">
        <f t="shared" si="9"/>
        <v>1455.3</v>
      </c>
      <c r="H72">
        <f t="shared" si="10"/>
        <v>1581.9</v>
      </c>
      <c r="I72">
        <f t="shared" si="11"/>
        <v>1708.5</v>
      </c>
      <c r="J72">
        <f t="shared" si="12"/>
        <v>1835.1</v>
      </c>
      <c r="K72">
        <f t="shared" si="13"/>
        <v>1961.6999999999998</v>
      </c>
      <c r="N72" s="2">
        <v>71</v>
      </c>
      <c r="O72">
        <v>1455.3</v>
      </c>
      <c r="P72">
        <v>1581.9</v>
      </c>
      <c r="Q72">
        <v>1708.5</v>
      </c>
      <c r="R72">
        <v>1835.1</v>
      </c>
      <c r="S72">
        <v>1961.6999999999998</v>
      </c>
    </row>
    <row r="73" spans="1:19" x14ac:dyDescent="0.25">
      <c r="A73" s="2">
        <v>72</v>
      </c>
      <c r="B73" s="2">
        <v>17.501270904253911</v>
      </c>
      <c r="C73" s="2">
        <v>1299</v>
      </c>
      <c r="D73" s="2">
        <v>2115</v>
      </c>
      <c r="E73">
        <f t="shared" si="7"/>
        <v>816</v>
      </c>
      <c r="F73">
        <f t="shared" si="8"/>
        <v>81.599999999999994</v>
      </c>
      <c r="G73">
        <f t="shared" si="9"/>
        <v>1380.6</v>
      </c>
      <c r="H73">
        <f t="shared" si="10"/>
        <v>1543.8</v>
      </c>
      <c r="I73">
        <f t="shared" si="11"/>
        <v>1707</v>
      </c>
      <c r="J73">
        <f t="shared" si="12"/>
        <v>1870.1999999999998</v>
      </c>
      <c r="K73">
        <f t="shared" si="13"/>
        <v>2033.4</v>
      </c>
      <c r="N73" s="2">
        <v>72</v>
      </c>
      <c r="O73">
        <v>1380.6</v>
      </c>
      <c r="P73">
        <v>1543.8</v>
      </c>
      <c r="Q73">
        <v>1707</v>
      </c>
      <c r="R73">
        <v>1870.1999999999998</v>
      </c>
      <c r="S73">
        <v>2033.4</v>
      </c>
    </row>
    <row r="74" spans="1:19" x14ac:dyDescent="0.25">
      <c r="A74" s="2">
        <v>73</v>
      </c>
      <c r="B74" s="2">
        <v>8.6295314903103897</v>
      </c>
      <c r="C74" s="2">
        <v>1277</v>
      </c>
      <c r="D74" s="2">
        <v>1843</v>
      </c>
      <c r="E74">
        <f t="shared" si="7"/>
        <v>566</v>
      </c>
      <c r="F74">
        <f t="shared" si="8"/>
        <v>56.6</v>
      </c>
      <c r="G74">
        <f t="shared" si="9"/>
        <v>1333.6</v>
      </c>
      <c r="H74">
        <f t="shared" si="10"/>
        <v>1446.8</v>
      </c>
      <c r="I74">
        <f t="shared" si="11"/>
        <v>1560</v>
      </c>
      <c r="J74">
        <f t="shared" si="12"/>
        <v>1673.2</v>
      </c>
      <c r="K74">
        <f t="shared" si="13"/>
        <v>1786.4</v>
      </c>
      <c r="N74" s="2">
        <v>73</v>
      </c>
      <c r="O74">
        <v>1333.6</v>
      </c>
      <c r="P74">
        <v>1446.8</v>
      </c>
      <c r="Q74">
        <v>1560</v>
      </c>
      <c r="R74">
        <v>1673.2</v>
      </c>
      <c r="S74">
        <v>1786.4</v>
      </c>
    </row>
    <row r="75" spans="1:19" x14ac:dyDescent="0.25">
      <c r="A75" s="2">
        <v>74</v>
      </c>
      <c r="B75" s="2">
        <v>21.331235850136185</v>
      </c>
      <c r="C75" s="2">
        <v>1349</v>
      </c>
      <c r="D75" s="2">
        <v>2100</v>
      </c>
      <c r="E75">
        <f t="shared" si="7"/>
        <v>751</v>
      </c>
      <c r="F75">
        <f t="shared" si="8"/>
        <v>75.099999999999994</v>
      </c>
      <c r="G75">
        <f t="shared" si="9"/>
        <v>1424.1</v>
      </c>
      <c r="H75">
        <f t="shared" si="10"/>
        <v>1574.3</v>
      </c>
      <c r="I75">
        <f t="shared" si="11"/>
        <v>1724.5</v>
      </c>
      <c r="J75">
        <f t="shared" si="12"/>
        <v>1874.6999999999998</v>
      </c>
      <c r="K75">
        <f t="shared" si="13"/>
        <v>2024.9</v>
      </c>
      <c r="N75" s="2">
        <v>74</v>
      </c>
      <c r="O75">
        <v>1424.1</v>
      </c>
      <c r="P75">
        <v>1574.3</v>
      </c>
      <c r="Q75">
        <v>1724.5</v>
      </c>
      <c r="R75">
        <v>1874.6999999999998</v>
      </c>
      <c r="S75">
        <v>2024.9</v>
      </c>
    </row>
    <row r="76" spans="1:19" x14ac:dyDescent="0.25">
      <c r="A76" s="2">
        <v>75</v>
      </c>
      <c r="B76" s="2">
        <v>15.688169743590567</v>
      </c>
      <c r="C76" s="2">
        <v>1336</v>
      </c>
      <c r="D76" s="2">
        <v>1803</v>
      </c>
      <c r="E76">
        <f t="shared" si="7"/>
        <v>467</v>
      </c>
      <c r="F76">
        <f t="shared" si="8"/>
        <v>46.7</v>
      </c>
      <c r="G76">
        <f t="shared" si="9"/>
        <v>1382.7</v>
      </c>
      <c r="H76">
        <f t="shared" si="10"/>
        <v>1476.1</v>
      </c>
      <c r="I76">
        <f t="shared" si="11"/>
        <v>1569.5</v>
      </c>
      <c r="J76">
        <f t="shared" si="12"/>
        <v>1662.9</v>
      </c>
      <c r="K76">
        <f t="shared" si="13"/>
        <v>1756.3</v>
      </c>
      <c r="N76" s="2">
        <v>75</v>
      </c>
      <c r="O76">
        <v>1382.7</v>
      </c>
      <c r="P76">
        <v>1476.1</v>
      </c>
      <c r="Q76">
        <v>1569.5</v>
      </c>
      <c r="R76">
        <v>1662.9</v>
      </c>
      <c r="S76">
        <v>1756.3</v>
      </c>
    </row>
    <row r="77" spans="1:19" x14ac:dyDescent="0.25">
      <c r="A77" s="2">
        <v>76</v>
      </c>
      <c r="B77" s="2">
        <v>10.442632609380359</v>
      </c>
      <c r="C77" s="2">
        <v>1335</v>
      </c>
      <c r="D77" s="2">
        <v>1908</v>
      </c>
      <c r="E77">
        <f t="shared" si="7"/>
        <v>573</v>
      </c>
      <c r="F77">
        <f t="shared" si="8"/>
        <v>57.3</v>
      </c>
      <c r="G77">
        <f t="shared" si="9"/>
        <v>1392.3</v>
      </c>
      <c r="H77">
        <f t="shared" si="10"/>
        <v>1506.9</v>
      </c>
      <c r="I77">
        <f t="shared" si="11"/>
        <v>1621.5</v>
      </c>
      <c r="J77">
        <f t="shared" si="12"/>
        <v>1736.1</v>
      </c>
      <c r="K77">
        <f t="shared" si="13"/>
        <v>1850.6999999999998</v>
      </c>
      <c r="N77" s="2">
        <v>76</v>
      </c>
      <c r="O77">
        <v>1392.3</v>
      </c>
      <c r="P77">
        <v>1506.9</v>
      </c>
      <c r="Q77">
        <v>1621.5</v>
      </c>
      <c r="R77">
        <v>1736.1</v>
      </c>
      <c r="S77">
        <v>1850.6999999999998</v>
      </c>
    </row>
    <row r="78" spans="1:19" x14ac:dyDescent="0.25">
      <c r="A78" s="2">
        <v>77</v>
      </c>
      <c r="B78" s="2">
        <v>10.207344690619314</v>
      </c>
      <c r="C78" s="2">
        <v>1439</v>
      </c>
      <c r="D78" s="2">
        <v>2197</v>
      </c>
      <c r="E78">
        <f t="shared" si="7"/>
        <v>758</v>
      </c>
      <c r="F78">
        <f t="shared" si="8"/>
        <v>75.8</v>
      </c>
      <c r="G78">
        <f t="shared" si="9"/>
        <v>1514.8</v>
      </c>
      <c r="H78">
        <f t="shared" si="10"/>
        <v>1666.4</v>
      </c>
      <c r="I78">
        <f t="shared" si="11"/>
        <v>1818</v>
      </c>
      <c r="J78">
        <f t="shared" si="12"/>
        <v>1969.6</v>
      </c>
      <c r="K78">
        <f t="shared" si="13"/>
        <v>2121.1999999999998</v>
      </c>
      <c r="N78" s="2">
        <v>77</v>
      </c>
      <c r="O78">
        <v>1514.8</v>
      </c>
      <c r="P78">
        <v>1666.4</v>
      </c>
      <c r="Q78">
        <v>1818</v>
      </c>
      <c r="R78">
        <v>1969.6</v>
      </c>
      <c r="S78">
        <v>2121.1999999999998</v>
      </c>
    </row>
    <row r="79" spans="1:19" x14ac:dyDescent="0.25">
      <c r="A79" s="2">
        <v>78</v>
      </c>
      <c r="B79" s="2">
        <v>18.355535313383537</v>
      </c>
      <c r="C79" s="2">
        <v>1414</v>
      </c>
      <c r="D79" s="2">
        <v>2085</v>
      </c>
      <c r="E79">
        <f t="shared" si="7"/>
        <v>671</v>
      </c>
      <c r="F79">
        <f t="shared" si="8"/>
        <v>67.099999999999994</v>
      </c>
      <c r="G79">
        <f t="shared" si="9"/>
        <v>1481.1</v>
      </c>
      <c r="H79">
        <f t="shared" si="10"/>
        <v>1615.3</v>
      </c>
      <c r="I79">
        <f t="shared" si="11"/>
        <v>1749.5</v>
      </c>
      <c r="J79">
        <f t="shared" si="12"/>
        <v>1883.6999999999998</v>
      </c>
      <c r="K79">
        <f t="shared" si="13"/>
        <v>2017.9</v>
      </c>
      <c r="N79" s="2">
        <v>78</v>
      </c>
      <c r="O79">
        <v>1481.1</v>
      </c>
      <c r="P79">
        <v>1615.3</v>
      </c>
      <c r="Q79">
        <v>1749.5</v>
      </c>
      <c r="R79">
        <v>1883.6999999999998</v>
      </c>
      <c r="S79">
        <v>2017.9</v>
      </c>
    </row>
    <row r="80" spans="1:19" x14ac:dyDescent="0.25">
      <c r="A80" s="2">
        <v>79</v>
      </c>
      <c r="B80" s="2">
        <v>16.28869221843394</v>
      </c>
      <c r="C80" s="2">
        <v>1443</v>
      </c>
      <c r="D80" s="2">
        <v>2192</v>
      </c>
      <c r="E80">
        <f t="shared" si="7"/>
        <v>749</v>
      </c>
      <c r="F80">
        <f t="shared" si="8"/>
        <v>74.900000000000006</v>
      </c>
      <c r="G80">
        <f t="shared" si="9"/>
        <v>1517.9</v>
      </c>
      <c r="H80">
        <f t="shared" si="10"/>
        <v>1667.7</v>
      </c>
      <c r="I80">
        <f t="shared" si="11"/>
        <v>1817.5</v>
      </c>
      <c r="J80">
        <f t="shared" si="12"/>
        <v>1967.3000000000002</v>
      </c>
      <c r="K80">
        <f t="shared" si="13"/>
        <v>2117.1</v>
      </c>
      <c r="N80" s="2">
        <v>79</v>
      </c>
      <c r="O80">
        <v>1517.9</v>
      </c>
      <c r="P80">
        <v>1667.7</v>
      </c>
      <c r="Q80">
        <v>1817.5</v>
      </c>
      <c r="R80">
        <v>1967.3000000000002</v>
      </c>
      <c r="S80">
        <v>2117.1</v>
      </c>
    </row>
    <row r="81" spans="1:19" x14ac:dyDescent="0.25">
      <c r="A81" s="2">
        <v>80</v>
      </c>
      <c r="B81" s="2">
        <v>7.8460071708561214</v>
      </c>
      <c r="C81" s="2">
        <v>1363</v>
      </c>
      <c r="D81" s="2">
        <v>1774</v>
      </c>
      <c r="E81">
        <f t="shared" si="7"/>
        <v>411</v>
      </c>
      <c r="F81">
        <f t="shared" si="8"/>
        <v>41.1</v>
      </c>
      <c r="G81">
        <f t="shared" si="9"/>
        <v>1404.1</v>
      </c>
      <c r="H81">
        <f t="shared" si="10"/>
        <v>1486.3</v>
      </c>
      <c r="I81">
        <f t="shared" si="11"/>
        <v>1568.5</v>
      </c>
      <c r="J81">
        <f t="shared" si="12"/>
        <v>1650.7</v>
      </c>
      <c r="K81">
        <f t="shared" si="13"/>
        <v>1732.9</v>
      </c>
      <c r="N81" s="2">
        <v>80</v>
      </c>
      <c r="O81">
        <v>1404.1</v>
      </c>
      <c r="P81">
        <v>1486.3</v>
      </c>
      <c r="Q81">
        <v>1568.5</v>
      </c>
      <c r="R81">
        <v>1650.7</v>
      </c>
      <c r="S81">
        <v>1732.9</v>
      </c>
    </row>
    <row r="82" spans="1:19" x14ac:dyDescent="0.25">
      <c r="A82" s="2">
        <v>81</v>
      </c>
      <c r="B82" s="2">
        <v>16.236405980681187</v>
      </c>
      <c r="C82" s="2">
        <v>1401</v>
      </c>
      <c r="D82" s="2">
        <v>2183</v>
      </c>
      <c r="E82">
        <f t="shared" si="7"/>
        <v>782</v>
      </c>
      <c r="F82">
        <f t="shared" si="8"/>
        <v>78.2</v>
      </c>
      <c r="G82">
        <f t="shared" si="9"/>
        <v>1479.2</v>
      </c>
      <c r="H82">
        <f t="shared" si="10"/>
        <v>1635.6</v>
      </c>
      <c r="I82">
        <f t="shared" si="11"/>
        <v>1792</v>
      </c>
      <c r="J82">
        <f t="shared" si="12"/>
        <v>1948.4</v>
      </c>
      <c r="K82">
        <f t="shared" si="13"/>
        <v>2104.8000000000002</v>
      </c>
      <c r="N82" s="2">
        <v>81</v>
      </c>
      <c r="O82">
        <v>1479.2</v>
      </c>
      <c r="P82">
        <v>1635.6</v>
      </c>
      <c r="Q82">
        <v>1792</v>
      </c>
      <c r="R82">
        <v>1948.4</v>
      </c>
      <c r="S82">
        <v>2104.8000000000002</v>
      </c>
    </row>
    <row r="83" spans="1:19" x14ac:dyDescent="0.25">
      <c r="A83" s="2">
        <v>82</v>
      </c>
      <c r="B83" s="2">
        <v>6.8610273073789623</v>
      </c>
      <c r="C83" s="2">
        <v>1401</v>
      </c>
      <c r="D83" s="2">
        <v>1848</v>
      </c>
      <c r="E83">
        <f t="shared" si="7"/>
        <v>447</v>
      </c>
      <c r="F83">
        <f t="shared" si="8"/>
        <v>44.7</v>
      </c>
      <c r="G83">
        <f t="shared" si="9"/>
        <v>1445.7</v>
      </c>
      <c r="H83">
        <f t="shared" si="10"/>
        <v>1535.1</v>
      </c>
      <c r="I83">
        <f t="shared" si="11"/>
        <v>1624.5</v>
      </c>
      <c r="J83">
        <f t="shared" si="12"/>
        <v>1713.9</v>
      </c>
      <c r="K83">
        <f t="shared" si="13"/>
        <v>1803.3</v>
      </c>
      <c r="N83" s="2">
        <v>82</v>
      </c>
      <c r="O83">
        <v>1445.7</v>
      </c>
      <c r="P83">
        <v>1535.1</v>
      </c>
      <c r="Q83">
        <v>1624.5</v>
      </c>
      <c r="R83">
        <v>1713.9</v>
      </c>
      <c r="S83">
        <v>1803.3</v>
      </c>
    </row>
    <row r="84" spans="1:19" x14ac:dyDescent="0.25">
      <c r="A84" s="2">
        <v>83</v>
      </c>
      <c r="B84" s="2">
        <v>46.553181005322173</v>
      </c>
      <c r="C84" s="2">
        <v>1410</v>
      </c>
      <c r="D84" s="2">
        <v>2118</v>
      </c>
      <c r="E84">
        <f t="shared" si="7"/>
        <v>708</v>
      </c>
      <c r="F84">
        <f t="shared" si="8"/>
        <v>70.8</v>
      </c>
      <c r="G84">
        <f t="shared" si="9"/>
        <v>1480.8</v>
      </c>
      <c r="H84">
        <f t="shared" si="10"/>
        <v>1622.4</v>
      </c>
      <c r="I84">
        <f t="shared" si="11"/>
        <v>1764</v>
      </c>
      <c r="J84">
        <f t="shared" si="12"/>
        <v>1905.6</v>
      </c>
      <c r="K84">
        <f t="shared" si="13"/>
        <v>2047.1999999999998</v>
      </c>
      <c r="N84" s="2">
        <v>83</v>
      </c>
      <c r="O84">
        <v>1480.8</v>
      </c>
      <c r="P84">
        <v>1622.4</v>
      </c>
      <c r="Q84">
        <v>1764</v>
      </c>
      <c r="R84">
        <v>1905.6</v>
      </c>
      <c r="S84">
        <v>2047.1999999999998</v>
      </c>
    </row>
    <row r="85" spans="1:19" x14ac:dyDescent="0.25">
      <c r="A85" s="2">
        <v>84</v>
      </c>
      <c r="B85" s="2">
        <v>18.311707194272476</v>
      </c>
      <c r="C85" s="2">
        <v>1572</v>
      </c>
      <c r="D85" s="2">
        <v>2282</v>
      </c>
      <c r="E85">
        <f t="shared" si="7"/>
        <v>710</v>
      </c>
      <c r="F85">
        <f t="shared" si="8"/>
        <v>71</v>
      </c>
      <c r="G85">
        <f t="shared" si="9"/>
        <v>1643</v>
      </c>
      <c r="H85">
        <f t="shared" si="10"/>
        <v>1785</v>
      </c>
      <c r="I85">
        <f t="shared" si="11"/>
        <v>1927</v>
      </c>
      <c r="J85">
        <f t="shared" si="12"/>
        <v>2069</v>
      </c>
      <c r="K85">
        <f t="shared" si="13"/>
        <v>2211</v>
      </c>
      <c r="N85" s="2">
        <v>84</v>
      </c>
      <c r="O85">
        <v>1643</v>
      </c>
      <c r="P85">
        <v>1785</v>
      </c>
      <c r="Q85">
        <v>1927</v>
      </c>
      <c r="R85">
        <v>2069</v>
      </c>
      <c r="S85">
        <v>2211</v>
      </c>
    </row>
    <row r="86" spans="1:19" x14ac:dyDescent="0.25">
      <c r="A86" s="2">
        <v>85</v>
      </c>
      <c r="B86" s="2">
        <v>12.516395917171403</v>
      </c>
      <c r="C86" s="2">
        <v>1432</v>
      </c>
      <c r="D86" s="2">
        <v>2316</v>
      </c>
      <c r="E86">
        <f t="shared" si="7"/>
        <v>884</v>
      </c>
      <c r="F86">
        <f t="shared" si="8"/>
        <v>88.4</v>
      </c>
      <c r="G86">
        <f t="shared" si="9"/>
        <v>1520.4</v>
      </c>
      <c r="H86">
        <f t="shared" si="10"/>
        <v>1697.2</v>
      </c>
      <c r="I86">
        <f t="shared" si="11"/>
        <v>1874</v>
      </c>
      <c r="J86">
        <f t="shared" si="12"/>
        <v>2050.8000000000002</v>
      </c>
      <c r="K86">
        <f t="shared" si="13"/>
        <v>2227.6</v>
      </c>
      <c r="N86" s="2">
        <v>85</v>
      </c>
      <c r="O86">
        <v>1520.4</v>
      </c>
      <c r="P86">
        <v>1697.2</v>
      </c>
      <c r="Q86">
        <v>1874</v>
      </c>
      <c r="R86">
        <v>2050.8000000000002</v>
      </c>
      <c r="S86">
        <v>2227.6</v>
      </c>
    </row>
    <row r="87" spans="1:19" x14ac:dyDescent="0.25">
      <c r="A87" s="2">
        <v>86</v>
      </c>
      <c r="B87" s="2">
        <v>54.039335891090246</v>
      </c>
      <c r="C87" s="2">
        <v>1361</v>
      </c>
      <c r="D87" s="2">
        <v>2343</v>
      </c>
      <c r="E87">
        <f t="shared" si="7"/>
        <v>982</v>
      </c>
      <c r="F87">
        <f t="shared" si="8"/>
        <v>98.2</v>
      </c>
      <c r="G87">
        <f t="shared" si="9"/>
        <v>1459.2</v>
      </c>
      <c r="H87">
        <f t="shared" si="10"/>
        <v>1655.6</v>
      </c>
      <c r="I87">
        <f t="shared" si="11"/>
        <v>1852</v>
      </c>
      <c r="J87">
        <f t="shared" si="12"/>
        <v>2048.4</v>
      </c>
      <c r="K87">
        <f t="shared" si="13"/>
        <v>2244.8000000000002</v>
      </c>
      <c r="N87" s="2">
        <v>86</v>
      </c>
      <c r="O87">
        <v>1459.2</v>
      </c>
      <c r="P87">
        <v>1655.6</v>
      </c>
      <c r="Q87">
        <v>1852</v>
      </c>
      <c r="R87">
        <v>2048.4</v>
      </c>
      <c r="S87">
        <v>2244.8000000000002</v>
      </c>
    </row>
    <row r="88" spans="1:19" x14ac:dyDescent="0.25">
      <c r="A88" s="2">
        <v>87</v>
      </c>
      <c r="B88" s="2">
        <v>43.41677718214666</v>
      </c>
      <c r="C88" s="2">
        <v>1572</v>
      </c>
      <c r="D88" s="2">
        <v>2359</v>
      </c>
      <c r="E88">
        <f t="shared" si="7"/>
        <v>787</v>
      </c>
      <c r="F88">
        <f t="shared" si="8"/>
        <v>78.7</v>
      </c>
      <c r="G88">
        <f t="shared" si="9"/>
        <v>1650.7</v>
      </c>
      <c r="H88">
        <f t="shared" si="10"/>
        <v>1808.1</v>
      </c>
      <c r="I88">
        <f t="shared" si="11"/>
        <v>1965.5</v>
      </c>
      <c r="J88">
        <f t="shared" si="12"/>
        <v>2122.9</v>
      </c>
      <c r="K88">
        <f t="shared" si="13"/>
        <v>2280.3000000000002</v>
      </c>
      <c r="N88" s="2">
        <v>87</v>
      </c>
      <c r="O88">
        <v>1650.7</v>
      </c>
      <c r="P88">
        <v>1808.1</v>
      </c>
      <c r="Q88">
        <v>1965.5</v>
      </c>
      <c r="R88">
        <v>2122.9</v>
      </c>
      <c r="S88">
        <v>2280.3000000000002</v>
      </c>
    </row>
    <row r="89" spans="1:19" x14ac:dyDescent="0.25">
      <c r="A89" s="2">
        <v>88</v>
      </c>
      <c r="B89" s="2">
        <v>45.913443732235159</v>
      </c>
      <c r="C89" s="2">
        <v>1432</v>
      </c>
      <c r="D89" s="2">
        <v>2342</v>
      </c>
      <c r="E89">
        <f t="shared" si="7"/>
        <v>910</v>
      </c>
      <c r="F89">
        <f t="shared" si="8"/>
        <v>91</v>
      </c>
      <c r="G89">
        <f t="shared" si="9"/>
        <v>1523</v>
      </c>
      <c r="H89">
        <f t="shared" si="10"/>
        <v>1705</v>
      </c>
      <c r="I89">
        <f t="shared" si="11"/>
        <v>1887</v>
      </c>
      <c r="J89">
        <f t="shared" si="12"/>
        <v>2069</v>
      </c>
      <c r="K89">
        <f t="shared" si="13"/>
        <v>2251</v>
      </c>
      <c r="N89" s="2">
        <v>88</v>
      </c>
      <c r="O89">
        <v>1523</v>
      </c>
      <c r="P89">
        <v>1705</v>
      </c>
      <c r="Q89">
        <v>1887</v>
      </c>
      <c r="R89">
        <v>2069</v>
      </c>
      <c r="S89">
        <v>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DrNaderi</dc:creator>
  <cp:lastModifiedBy>DrNaderi</cp:lastModifiedBy>
  <dcterms:created xsi:type="dcterms:W3CDTF">2023-01-05T18:42:14Z</dcterms:created>
  <dcterms:modified xsi:type="dcterms:W3CDTF">2023-01-05T18:47:24Z</dcterms:modified>
</cp:coreProperties>
</file>