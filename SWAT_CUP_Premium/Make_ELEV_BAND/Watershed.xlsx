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adar_naderi_swat_data\SWAT_Gadar\Make_ELEV_BAND\"/>
    </mc:Choice>
  </mc:AlternateContent>
  <bookViews>
    <workbookView xWindow="120" yWindow="90" windowWidth="23895" windowHeight="14535" activeTab="1"/>
  </bookViews>
  <sheets>
    <sheet name="Watershed" sheetId="1" r:id="rId1"/>
    <sheet name="Sheet1" sheetId="2" r:id="rId2"/>
  </sheets>
  <definedNames>
    <definedName name="_xlnm._FilterDatabase" localSheetId="1" hidden="1">Sheet1!$E$1:$E$69</definedName>
    <definedName name="Watershed">Watershed!$A$1:$U$122</definedName>
  </definedNames>
  <calcPr calcId="162913"/>
</workbook>
</file>

<file path=xl/calcChain.xml><?xml version="1.0" encoding="utf-8"?>
<calcChain xmlns="http://schemas.openxmlformats.org/spreadsheetml/2006/main">
  <c r="F7" i="2" l="1"/>
  <c r="J7" i="2" s="1"/>
  <c r="F56" i="2"/>
  <c r="H56" i="2" s="1"/>
  <c r="F11" i="2"/>
  <c r="G11" i="2" s="1"/>
  <c r="K11" i="2"/>
  <c r="F50" i="2"/>
  <c r="H50" i="2" s="1"/>
  <c r="F60" i="2"/>
  <c r="G60" i="2" s="1"/>
  <c r="H60" i="2"/>
  <c r="F33" i="2"/>
  <c r="H33" i="2" s="1"/>
  <c r="F43" i="2"/>
  <c r="G43" i="2" s="1"/>
  <c r="F38" i="2"/>
  <c r="H38" i="2" s="1"/>
  <c r="F20" i="2"/>
  <c r="G20" i="2" s="1"/>
  <c r="F51" i="2"/>
  <c r="H51" i="2" s="1"/>
  <c r="F54" i="2"/>
  <c r="G54" i="2" s="1"/>
  <c r="F39" i="2"/>
  <c r="H39" i="2" s="1"/>
  <c r="F36" i="2"/>
  <c r="G36" i="2" s="1"/>
  <c r="F61" i="2"/>
  <c r="H61" i="2" s="1"/>
  <c r="G61" i="2"/>
  <c r="F49" i="2"/>
  <c r="G49" i="2" s="1"/>
  <c r="F17" i="2"/>
  <c r="H17" i="2" s="1"/>
  <c r="F42" i="2"/>
  <c r="G42" i="2" s="1"/>
  <c r="F47" i="2"/>
  <c r="H47" i="2" s="1"/>
  <c r="F46" i="2"/>
  <c r="G46" i="2" s="1"/>
  <c r="F41" i="2"/>
  <c r="H41" i="2" s="1"/>
  <c r="F25" i="2"/>
  <c r="G25" i="2" s="1"/>
  <c r="F64" i="2"/>
  <c r="H64" i="2" s="1"/>
  <c r="F65" i="2"/>
  <c r="G65" i="2" s="1"/>
  <c r="F62" i="2"/>
  <c r="H62" i="2" s="1"/>
  <c r="G62" i="2"/>
  <c r="F44" i="2"/>
  <c r="G44" i="2" s="1"/>
  <c r="F59" i="2"/>
  <c r="H59" i="2" s="1"/>
  <c r="F58" i="2"/>
  <c r="G58" i="2" s="1"/>
  <c r="F16" i="2"/>
  <c r="G16" i="2" s="1"/>
  <c r="F63" i="2"/>
  <c r="J63" i="2"/>
  <c r="F18" i="2"/>
  <c r="F68" i="2"/>
  <c r="G68" i="2" s="1"/>
  <c r="F22" i="2"/>
  <c r="G22" i="2" s="1"/>
  <c r="F4" i="2"/>
  <c r="J4" i="2" s="1"/>
  <c r="F45" i="2"/>
  <c r="F55" i="2"/>
  <c r="G55" i="2" s="1"/>
  <c r="F26" i="2"/>
  <c r="I26" i="2" s="1"/>
  <c r="F31" i="2"/>
  <c r="H31" i="2" s="1"/>
  <c r="F66" i="2"/>
  <c r="K66" i="2"/>
  <c r="F24" i="2"/>
  <c r="I24" i="2" s="1"/>
  <c r="F69" i="2"/>
  <c r="I69" i="2" s="1"/>
  <c r="F19" i="2"/>
  <c r="J19" i="2" s="1"/>
  <c r="H19" i="2"/>
  <c r="F52" i="2"/>
  <c r="I52" i="2" s="1"/>
  <c r="F27" i="2"/>
  <c r="H27" i="2" s="1"/>
  <c r="F28" i="2"/>
  <c r="I28" i="2" s="1"/>
  <c r="F14" i="2"/>
  <c r="F3" i="2"/>
  <c r="F13" i="2"/>
  <c r="F67" i="2"/>
  <c r="I67" i="2" s="1"/>
  <c r="F32" i="2"/>
  <c r="H32" i="2" s="1"/>
  <c r="J32" i="2"/>
  <c r="K32" i="2"/>
  <c r="F12" i="2"/>
  <c r="K12" i="2" s="1"/>
  <c r="F53" i="2"/>
  <c r="I53" i="2" s="1"/>
  <c r="F5" i="2"/>
  <c r="H5" i="2" s="1"/>
  <c r="F8" i="2"/>
  <c r="J8" i="2" s="1"/>
  <c r="F37" i="2"/>
  <c r="H37" i="2" s="1"/>
  <c r="F29" i="2"/>
  <c r="I29" i="2" s="1"/>
  <c r="F6" i="2"/>
  <c r="J6" i="2" s="1"/>
  <c r="F40" i="2"/>
  <c r="H40" i="2" s="1"/>
  <c r="F30" i="2"/>
  <c r="G30" i="2" s="1"/>
  <c r="F15" i="2"/>
  <c r="J15" i="2" s="1"/>
  <c r="F2" i="2"/>
  <c r="H2" i="2" s="1"/>
  <c r="F48" i="2"/>
  <c r="G48" i="2" s="1"/>
  <c r="F23" i="2"/>
  <c r="H23" i="2" s="1"/>
  <c r="F34" i="2"/>
  <c r="I34" i="2" s="1"/>
  <c r="J34" i="2"/>
  <c r="F9" i="2"/>
  <c r="J9" i="2" s="1"/>
  <c r="F21" i="2"/>
  <c r="G21" i="2" s="1"/>
  <c r="F35" i="2"/>
  <c r="F10" i="2"/>
  <c r="I10" i="2" s="1"/>
  <c r="F57" i="2"/>
  <c r="H57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2" i="2"/>
  <c r="K40" i="2" l="1"/>
  <c r="H65" i="2"/>
  <c r="H54" i="2"/>
  <c r="G57" i="2"/>
  <c r="J21" i="2"/>
  <c r="I15" i="2"/>
  <c r="J40" i="2"/>
  <c r="I58" i="2"/>
  <c r="J62" i="2"/>
  <c r="I46" i="2"/>
  <c r="G17" i="2"/>
  <c r="G12" i="2"/>
  <c r="I32" i="2"/>
  <c r="H52" i="2"/>
  <c r="H43" i="2"/>
  <c r="K6" i="2"/>
  <c r="G39" i="2"/>
  <c r="G40" i="2"/>
  <c r="K29" i="2"/>
  <c r="G5" i="2"/>
  <c r="G32" i="2"/>
  <c r="I68" i="2"/>
  <c r="K33" i="2"/>
  <c r="K34" i="2"/>
  <c r="H26" i="2"/>
  <c r="I65" i="2"/>
  <c r="J39" i="2"/>
  <c r="J43" i="2"/>
  <c r="G33" i="2"/>
  <c r="G34" i="2"/>
  <c r="I40" i="2"/>
  <c r="H29" i="2"/>
  <c r="I55" i="2"/>
  <c r="J16" i="2"/>
  <c r="G59" i="2"/>
  <c r="J41" i="2"/>
  <c r="H46" i="2"/>
  <c r="I49" i="2"/>
  <c r="G51" i="2"/>
  <c r="K38" i="2"/>
  <c r="K50" i="2"/>
  <c r="I11" i="2"/>
  <c r="K57" i="2"/>
  <c r="G29" i="2"/>
  <c r="K5" i="2"/>
  <c r="I19" i="2"/>
  <c r="K26" i="2"/>
  <c r="J22" i="2"/>
  <c r="G64" i="2"/>
  <c r="G41" i="2"/>
  <c r="J17" i="2"/>
  <c r="H49" i="2"/>
  <c r="I54" i="2"/>
  <c r="G38" i="2"/>
  <c r="J60" i="2"/>
  <c r="G50" i="2"/>
  <c r="G47" i="2"/>
  <c r="H20" i="2"/>
  <c r="J29" i="2"/>
  <c r="K23" i="2"/>
  <c r="K37" i="2"/>
  <c r="I57" i="2"/>
  <c r="I21" i="2"/>
  <c r="H34" i="2"/>
  <c r="J23" i="2"/>
  <c r="K48" i="2"/>
  <c r="K2" i="2"/>
  <c r="J37" i="2"/>
  <c r="I27" i="2"/>
  <c r="G52" i="2"/>
  <c r="H55" i="2"/>
  <c r="H68" i="2"/>
  <c r="H58" i="2"/>
  <c r="H21" i="2"/>
  <c r="I23" i="2"/>
  <c r="J48" i="2"/>
  <c r="I2" i="2"/>
  <c r="I37" i="2"/>
  <c r="J53" i="2"/>
  <c r="K28" i="2"/>
  <c r="J31" i="2"/>
  <c r="I44" i="2"/>
  <c r="I25" i="2"/>
  <c r="I42" i="2"/>
  <c r="I36" i="2"/>
  <c r="J20" i="2"/>
  <c r="K56" i="2"/>
  <c r="K21" i="2"/>
  <c r="G23" i="2"/>
  <c r="G2" i="2"/>
  <c r="G37" i="2"/>
  <c r="I5" i="2"/>
  <c r="H28" i="2"/>
  <c r="K52" i="2"/>
  <c r="J59" i="2"/>
  <c r="H44" i="2"/>
  <c r="J64" i="2"/>
  <c r="H25" i="2"/>
  <c r="J47" i="2"/>
  <c r="H42" i="2"/>
  <c r="J61" i="2"/>
  <c r="H36" i="2"/>
  <c r="J51" i="2"/>
  <c r="I20" i="2"/>
  <c r="J38" i="2"/>
  <c r="I43" i="2"/>
  <c r="J33" i="2"/>
  <c r="I60" i="2"/>
  <c r="J50" i="2"/>
  <c r="J11" i="2"/>
  <c r="J56" i="2"/>
  <c r="H35" i="2"/>
  <c r="I35" i="2"/>
  <c r="J35" i="2"/>
  <c r="I3" i="2"/>
  <c r="J3" i="2"/>
  <c r="K3" i="2"/>
  <c r="G10" i="2"/>
  <c r="K10" i="2"/>
  <c r="H10" i="2"/>
  <c r="I66" i="2"/>
  <c r="G66" i="2"/>
  <c r="J66" i="2"/>
  <c r="G63" i="2"/>
  <c r="H63" i="2"/>
  <c r="I63" i="2"/>
  <c r="K7" i="2"/>
  <c r="K35" i="2"/>
  <c r="G15" i="2"/>
  <c r="K15" i="2"/>
  <c r="H15" i="2"/>
  <c r="H6" i="2"/>
  <c r="G6" i="2"/>
  <c r="I6" i="2"/>
  <c r="H12" i="2"/>
  <c r="I12" i="2"/>
  <c r="J12" i="2"/>
  <c r="H8" i="2"/>
  <c r="I8" i="2"/>
  <c r="H7" i="2"/>
  <c r="I7" i="2"/>
  <c r="H9" i="2"/>
  <c r="G9" i="2"/>
  <c r="I9" i="2"/>
  <c r="H30" i="2"/>
  <c r="I30" i="2"/>
  <c r="J30" i="2"/>
  <c r="K8" i="2"/>
  <c r="H14" i="2"/>
  <c r="J14" i="2"/>
  <c r="G4" i="2"/>
  <c r="H4" i="2"/>
  <c r="I4" i="2"/>
  <c r="J10" i="2"/>
  <c r="G35" i="2"/>
  <c r="K9" i="2"/>
  <c r="H48" i="2"/>
  <c r="I48" i="2"/>
  <c r="K30" i="2"/>
  <c r="G8" i="2"/>
  <c r="G53" i="2"/>
  <c r="K53" i="2"/>
  <c r="H53" i="2"/>
  <c r="G3" i="2"/>
  <c r="G45" i="2"/>
  <c r="J45" i="2"/>
  <c r="G18" i="2"/>
  <c r="J18" i="2"/>
  <c r="G7" i="2"/>
  <c r="H11" i="2"/>
  <c r="G56" i="2"/>
  <c r="J57" i="2"/>
  <c r="J2" i="2"/>
  <c r="J5" i="2"/>
  <c r="J52" i="2"/>
  <c r="J55" i="2"/>
  <c r="J68" i="2"/>
  <c r="J58" i="2"/>
  <c r="K59" i="2"/>
  <c r="J44" i="2"/>
  <c r="K62" i="2"/>
  <c r="J65" i="2"/>
  <c r="K64" i="2"/>
  <c r="J25" i="2"/>
  <c r="K41" i="2"/>
  <c r="J46" i="2"/>
  <c r="K47" i="2"/>
  <c r="J42" i="2"/>
  <c r="K17" i="2"/>
  <c r="J49" i="2"/>
  <c r="K61" i="2"/>
  <c r="J36" i="2"/>
  <c r="K39" i="2"/>
  <c r="J54" i="2"/>
  <c r="K51" i="2"/>
  <c r="G13" i="2"/>
  <c r="K13" i="2"/>
  <c r="K69" i="2"/>
  <c r="J67" i="2"/>
  <c r="J13" i="2"/>
  <c r="G14" i="2"/>
  <c r="K14" i="2"/>
  <c r="G28" i="2"/>
  <c r="J69" i="2"/>
  <c r="J24" i="2"/>
  <c r="G31" i="2"/>
  <c r="K31" i="2"/>
  <c r="G26" i="2"/>
  <c r="K67" i="2"/>
  <c r="H67" i="2"/>
  <c r="I13" i="2"/>
  <c r="G27" i="2"/>
  <c r="K27" i="2"/>
  <c r="H69" i="2"/>
  <c r="H45" i="2"/>
  <c r="I45" i="2"/>
  <c r="H22" i="2"/>
  <c r="I22" i="2"/>
  <c r="H18" i="2"/>
  <c r="I18" i="2"/>
  <c r="H16" i="2"/>
  <c r="I16" i="2"/>
  <c r="G24" i="2"/>
  <c r="K24" i="2"/>
  <c r="G67" i="2"/>
  <c r="H13" i="2"/>
  <c r="H3" i="2"/>
  <c r="I14" i="2"/>
  <c r="J28" i="2"/>
  <c r="J27" i="2"/>
  <c r="G19" i="2"/>
  <c r="K19" i="2"/>
  <c r="G69" i="2"/>
  <c r="H24" i="2"/>
  <c r="H66" i="2"/>
  <c r="I31" i="2"/>
  <c r="J26" i="2"/>
  <c r="K45" i="2"/>
  <c r="K22" i="2"/>
  <c r="K18" i="2"/>
  <c r="K16" i="2"/>
  <c r="K55" i="2"/>
  <c r="K4" i="2"/>
  <c r="K68" i="2"/>
  <c r="K63" i="2"/>
  <c r="K58" i="2"/>
  <c r="I59" i="2"/>
  <c r="K44" i="2"/>
  <c r="I62" i="2"/>
  <c r="K65" i="2"/>
  <c r="I64" i="2"/>
  <c r="K25" i="2"/>
  <c r="I41" i="2"/>
  <c r="K46" i="2"/>
  <c r="I47" i="2"/>
  <c r="K42" i="2"/>
  <c r="I17" i="2"/>
  <c r="K49" i="2"/>
  <c r="I61" i="2"/>
  <c r="K36" i="2"/>
  <c r="I39" i="2"/>
  <c r="K54" i="2"/>
  <c r="I51" i="2"/>
  <c r="K20" i="2"/>
  <c r="I38" i="2"/>
  <c r="K43" i="2"/>
  <c r="I33" i="2"/>
  <c r="K60" i="2"/>
  <c r="I50" i="2"/>
  <c r="I56" i="2"/>
</calcChain>
</file>

<file path=xl/sharedStrings.xml><?xml version="1.0" encoding="utf-8"?>
<sst xmlns="http://schemas.openxmlformats.org/spreadsheetml/2006/main" count="38" uniqueCount="28">
  <si>
    <t>OBJECTID</t>
  </si>
  <si>
    <t>Shape</t>
  </si>
  <si>
    <t>GRIDCODE</t>
  </si>
  <si>
    <t>Subbasin</t>
  </si>
  <si>
    <t>Area</t>
  </si>
  <si>
    <t>Slo1</t>
  </si>
  <si>
    <t>Len1</t>
  </si>
  <si>
    <t>Sll</t>
  </si>
  <si>
    <t>Csl</t>
  </si>
  <si>
    <t>Wid1</t>
  </si>
  <si>
    <t>Dep1</t>
  </si>
  <si>
    <t>Lat</t>
  </si>
  <si>
    <t>Long_</t>
  </si>
  <si>
    <t>Elev</t>
  </si>
  <si>
    <t>ElevMin</t>
  </si>
  <si>
    <t>ElevMax</t>
  </si>
  <si>
    <t>Bname</t>
  </si>
  <si>
    <t>Shape_Length</t>
  </si>
  <si>
    <t>Shape_Area</t>
  </si>
  <si>
    <t>HydroID</t>
  </si>
  <si>
    <t>OutletID</t>
  </si>
  <si>
    <t>diff</t>
  </si>
  <si>
    <t>mid</t>
  </si>
  <si>
    <t>E1</t>
  </si>
  <si>
    <t>E2</t>
  </si>
  <si>
    <t>E3</t>
  </si>
  <si>
    <t>E4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</si>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</sst>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"/>
  <sheetViews>
    <sheetView workbookViewId="0">
      <selection activeCell="F11" sqref="A1:U12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C2">
        <v>1</v>
      </c>
      <c r="D2">
        <v>1</v>
      </c>
      <c r="E2">
        <v>1493.82</v>
      </c>
      <c r="F2">
        <v>35.735176086425803</v>
      </c>
      <c r="G2">
        <v>10084.295449323099</v>
      </c>
      <c r="H2">
        <v>15.2392563242914</v>
      </c>
      <c r="I2">
        <v>13.1392421677703</v>
      </c>
      <c r="J2">
        <v>6.5338426599450603</v>
      </c>
      <c r="K2">
        <v>0.38340931521927202</v>
      </c>
      <c r="L2">
        <v>37.110500513688102</v>
      </c>
      <c r="M2">
        <v>44.981104219767303</v>
      </c>
      <c r="N2">
        <v>2532.38564887336</v>
      </c>
      <c r="O2">
        <v>1858</v>
      </c>
      <c r="P2">
        <v>3287</v>
      </c>
      <c r="R2">
        <v>27720</v>
      </c>
      <c r="S2">
        <v>14938200</v>
      </c>
      <c r="T2">
        <v>300001</v>
      </c>
      <c r="U2">
        <v>100001</v>
      </c>
    </row>
    <row r="3" spans="1:21" x14ac:dyDescent="0.25">
      <c r="A3">
        <v>2</v>
      </c>
      <c r="C3">
        <v>2</v>
      </c>
      <c r="D3">
        <v>2</v>
      </c>
      <c r="E3">
        <v>2666.43</v>
      </c>
      <c r="F3">
        <v>22.9391765594482</v>
      </c>
      <c r="G3">
        <v>11717.9707729982</v>
      </c>
      <c r="H3">
        <v>15.2392563242914</v>
      </c>
      <c r="I3">
        <v>8.0474684420016196</v>
      </c>
      <c r="J3">
        <v>9.2501297052381801</v>
      </c>
      <c r="K3">
        <v>0.48340977396974399</v>
      </c>
      <c r="L3">
        <v>37.130741102635703</v>
      </c>
      <c r="M3">
        <v>45.0162519596295</v>
      </c>
      <c r="N3">
        <v>2148.91338981335</v>
      </c>
      <c r="O3">
        <v>1857</v>
      </c>
      <c r="P3">
        <v>2813</v>
      </c>
      <c r="R3">
        <v>36240</v>
      </c>
      <c r="S3">
        <v>26664300</v>
      </c>
      <c r="T3">
        <v>300002</v>
      </c>
      <c r="U3">
        <v>100002</v>
      </c>
    </row>
    <row r="4" spans="1:21" x14ac:dyDescent="0.25">
      <c r="A4">
        <v>3</v>
      </c>
      <c r="C4">
        <v>3</v>
      </c>
      <c r="D4">
        <v>3</v>
      </c>
      <c r="E4">
        <v>1056.06</v>
      </c>
      <c r="F4">
        <v>25.037540435791001</v>
      </c>
      <c r="G4">
        <v>7303.3409050390501</v>
      </c>
      <c r="H4">
        <v>15.2392563242914</v>
      </c>
      <c r="I4">
        <v>11.077122244722499</v>
      </c>
      <c r="J4">
        <v>5.3064352136625201</v>
      </c>
      <c r="K4">
        <v>0.33374809051473198</v>
      </c>
      <c r="L4">
        <v>37.113364872344398</v>
      </c>
      <c r="M4">
        <v>45.108115191371098</v>
      </c>
      <c r="N4">
        <v>1857.80185784899</v>
      </c>
      <c r="O4">
        <v>1520</v>
      </c>
      <c r="P4">
        <v>2330</v>
      </c>
      <c r="R4">
        <v>22020</v>
      </c>
      <c r="S4">
        <v>10560600</v>
      </c>
      <c r="T4">
        <v>300003</v>
      </c>
      <c r="U4">
        <v>100004</v>
      </c>
    </row>
    <row r="5" spans="1:21" x14ac:dyDescent="0.25">
      <c r="A5">
        <v>4</v>
      </c>
      <c r="C5">
        <v>4</v>
      </c>
      <c r="D5">
        <v>4</v>
      </c>
      <c r="E5">
        <v>3660.12</v>
      </c>
      <c r="F5">
        <v>21.614015579223601</v>
      </c>
      <c r="G5">
        <v>11462.712113871599</v>
      </c>
      <c r="H5">
        <v>15.2392563242914</v>
      </c>
      <c r="I5">
        <v>7.5898268346734996</v>
      </c>
      <c r="J5">
        <v>11.186311400507</v>
      </c>
      <c r="K5">
        <v>0.54870823994062801</v>
      </c>
      <c r="L5">
        <v>37.1276783764337</v>
      </c>
      <c r="M5">
        <v>45.185106099871099</v>
      </c>
      <c r="N5">
        <v>1951.06400609816</v>
      </c>
      <c r="O5">
        <v>1524</v>
      </c>
      <c r="P5">
        <v>2537</v>
      </c>
      <c r="R5">
        <v>39780</v>
      </c>
      <c r="S5">
        <v>36601200</v>
      </c>
      <c r="T5">
        <v>300004</v>
      </c>
      <c r="U5">
        <v>100003</v>
      </c>
    </row>
    <row r="6" spans="1:21" x14ac:dyDescent="0.25">
      <c r="A6">
        <v>5</v>
      </c>
      <c r="C6">
        <v>5</v>
      </c>
      <c r="D6">
        <v>5</v>
      </c>
      <c r="E6">
        <v>1170.81</v>
      </c>
      <c r="F6">
        <v>29.174076080322301</v>
      </c>
      <c r="G6">
        <v>9464.7727214762199</v>
      </c>
      <c r="H6">
        <v>15.2392563242914</v>
      </c>
      <c r="I6">
        <v>13.9147556814717</v>
      </c>
      <c r="J6">
        <v>5.6452290039425499</v>
      </c>
      <c r="K6">
        <v>0.34780668217866001</v>
      </c>
      <c r="L6">
        <v>37.0967328216665</v>
      </c>
      <c r="M6">
        <v>45.001443459939701</v>
      </c>
      <c r="N6">
        <v>2438.0536551618102</v>
      </c>
      <c r="O6">
        <v>1842</v>
      </c>
      <c r="P6">
        <v>3183</v>
      </c>
      <c r="R6">
        <v>24360</v>
      </c>
      <c r="S6">
        <v>11708100</v>
      </c>
      <c r="T6">
        <v>300005</v>
      </c>
      <c r="U6">
        <v>100005</v>
      </c>
    </row>
    <row r="7" spans="1:21" x14ac:dyDescent="0.25">
      <c r="A7">
        <v>6</v>
      </c>
      <c r="C7">
        <v>6</v>
      </c>
      <c r="D7">
        <v>6</v>
      </c>
      <c r="E7">
        <v>189.18</v>
      </c>
      <c r="F7">
        <v>22.505994796752901</v>
      </c>
      <c r="G7">
        <v>3828.1222920253099</v>
      </c>
      <c r="H7">
        <v>15.2392563242914</v>
      </c>
      <c r="I7">
        <v>11.702865421339</v>
      </c>
      <c r="J7">
        <v>1.89110151685315</v>
      </c>
      <c r="K7">
        <v>0.16776194042079901</v>
      </c>
      <c r="L7">
        <v>37.1094219439575</v>
      </c>
      <c r="M7">
        <v>45.050459998068</v>
      </c>
      <c r="N7">
        <v>2032.61370123692</v>
      </c>
      <c r="O7">
        <v>1837</v>
      </c>
      <c r="P7">
        <v>2332</v>
      </c>
      <c r="R7">
        <v>9780</v>
      </c>
      <c r="S7">
        <v>1891800</v>
      </c>
      <c r="T7">
        <v>300006</v>
      </c>
      <c r="U7">
        <v>100006</v>
      </c>
    </row>
    <row r="8" spans="1:21" x14ac:dyDescent="0.25">
      <c r="A8">
        <v>7</v>
      </c>
      <c r="C8">
        <v>7</v>
      </c>
      <c r="D8">
        <v>7</v>
      </c>
      <c r="E8">
        <v>491.13</v>
      </c>
      <c r="F8">
        <v>26.595558166503899</v>
      </c>
      <c r="G8">
        <v>4442.8636328887396</v>
      </c>
      <c r="H8">
        <v>15.2392563242914</v>
      </c>
      <c r="I8">
        <v>12.3568951325891</v>
      </c>
      <c r="J8">
        <v>3.3520276181853799</v>
      </c>
      <c r="K8">
        <v>0.24570949401839001</v>
      </c>
      <c r="L8">
        <v>37.099807806038299</v>
      </c>
      <c r="M8">
        <v>45.053678099939297</v>
      </c>
      <c r="N8">
        <v>2034.8957302547201</v>
      </c>
      <c r="O8">
        <v>1781</v>
      </c>
      <c r="P8">
        <v>2333</v>
      </c>
      <c r="R8">
        <v>14520</v>
      </c>
      <c r="S8">
        <v>4911300</v>
      </c>
      <c r="T8">
        <v>300007</v>
      </c>
      <c r="U8">
        <v>100007</v>
      </c>
    </row>
    <row r="9" spans="1:21" x14ac:dyDescent="0.25">
      <c r="A9">
        <v>8</v>
      </c>
      <c r="C9">
        <v>8</v>
      </c>
      <c r="D9">
        <v>8</v>
      </c>
      <c r="E9">
        <v>1160.9100000000001</v>
      </c>
      <c r="F9">
        <v>36.9739379882813</v>
      </c>
      <c r="G9">
        <v>8270.6201256382792</v>
      </c>
      <c r="H9">
        <v>15.2392563242914</v>
      </c>
      <c r="I9">
        <v>13.336363939395399</v>
      </c>
      <c r="J9">
        <v>5.6165398114050404</v>
      </c>
      <c r="K9">
        <v>0.34662730709158301</v>
      </c>
      <c r="L9">
        <v>37.081845931431197</v>
      </c>
      <c r="M9">
        <v>45.015703531059899</v>
      </c>
      <c r="N9">
        <v>2395.9888363438999</v>
      </c>
      <c r="O9">
        <v>1785</v>
      </c>
      <c r="P9">
        <v>2999</v>
      </c>
      <c r="R9">
        <v>24120</v>
      </c>
      <c r="S9">
        <v>11609100</v>
      </c>
      <c r="T9">
        <v>300008</v>
      </c>
      <c r="U9">
        <v>100008</v>
      </c>
    </row>
    <row r="10" spans="1:21" x14ac:dyDescent="0.25">
      <c r="A10">
        <v>9</v>
      </c>
      <c r="C10">
        <v>9</v>
      </c>
      <c r="D10">
        <v>9</v>
      </c>
      <c r="E10">
        <v>5164.83</v>
      </c>
      <c r="F10">
        <v>41.798473358154297</v>
      </c>
      <c r="G10">
        <v>17411.606050556598</v>
      </c>
      <c r="H10">
        <v>15.2392563242914</v>
      </c>
      <c r="I10">
        <v>8.0176406239984797</v>
      </c>
      <c r="J10">
        <v>13.7538197713013</v>
      </c>
      <c r="K10">
        <v>0.62974650344574801</v>
      </c>
      <c r="L10">
        <v>37.107137462166399</v>
      </c>
      <c r="M10">
        <v>44.817147413694897</v>
      </c>
      <c r="N10">
        <v>2574.4580305644099</v>
      </c>
      <c r="O10">
        <v>1867</v>
      </c>
      <c r="P10">
        <v>3377</v>
      </c>
      <c r="R10">
        <v>42120</v>
      </c>
      <c r="S10">
        <v>51648300</v>
      </c>
      <c r="T10">
        <v>300009</v>
      </c>
      <c r="U10">
        <v>100009</v>
      </c>
    </row>
    <row r="11" spans="1:21" x14ac:dyDescent="0.25">
      <c r="A11">
        <v>10</v>
      </c>
      <c r="C11">
        <v>10</v>
      </c>
      <c r="D11">
        <v>10</v>
      </c>
      <c r="E11">
        <v>1477.62</v>
      </c>
      <c r="F11">
        <v>45.584239959716797</v>
      </c>
      <c r="G11">
        <v>7283.4523779186702</v>
      </c>
      <c r="H11">
        <v>15.2392563242914</v>
      </c>
      <c r="I11">
        <v>18.1919223364049</v>
      </c>
      <c r="J11">
        <v>6.4912355190639204</v>
      </c>
      <c r="K11">
        <v>0.38174069215675899</v>
      </c>
      <c r="L11">
        <v>37.089213682599102</v>
      </c>
      <c r="M11">
        <v>44.889669739146498</v>
      </c>
      <c r="N11">
        <v>2574.4605311243799</v>
      </c>
      <c r="O11">
        <v>1867</v>
      </c>
      <c r="P11">
        <v>3463</v>
      </c>
      <c r="R11">
        <v>23340</v>
      </c>
      <c r="S11">
        <v>14776200</v>
      </c>
      <c r="T11">
        <v>300010</v>
      </c>
      <c r="U11">
        <v>100010</v>
      </c>
    </row>
    <row r="12" spans="1:21" x14ac:dyDescent="0.25">
      <c r="A12">
        <v>11</v>
      </c>
      <c r="C12">
        <v>11</v>
      </c>
      <c r="D12">
        <v>11</v>
      </c>
      <c r="E12">
        <v>248.58</v>
      </c>
      <c r="F12">
        <v>38.416896820068402</v>
      </c>
      <c r="G12">
        <v>3109.0054095661799</v>
      </c>
      <c r="H12">
        <v>15.2392563242914</v>
      </c>
      <c r="I12">
        <v>18.237343629425101</v>
      </c>
      <c r="J12">
        <v>2.2277652255213001</v>
      </c>
      <c r="K12">
        <v>0.187124143614573</v>
      </c>
      <c r="L12">
        <v>37.064833245459504</v>
      </c>
      <c r="M12">
        <v>44.8757995736418</v>
      </c>
      <c r="N12">
        <v>2059.35409123823</v>
      </c>
      <c r="O12">
        <v>1845</v>
      </c>
      <c r="P12">
        <v>2413</v>
      </c>
      <c r="R12">
        <v>9600</v>
      </c>
      <c r="S12">
        <v>2485800</v>
      </c>
      <c r="T12">
        <v>300011</v>
      </c>
      <c r="U12">
        <v>100011</v>
      </c>
    </row>
    <row r="13" spans="1:21" x14ac:dyDescent="0.25">
      <c r="A13">
        <v>12</v>
      </c>
      <c r="C13">
        <v>12</v>
      </c>
      <c r="D13">
        <v>12</v>
      </c>
      <c r="E13">
        <v>2523.7800000000002</v>
      </c>
      <c r="F13">
        <v>48.028030395507798</v>
      </c>
      <c r="G13">
        <v>10799.148263073799</v>
      </c>
      <c r="H13">
        <v>15.2392563242914</v>
      </c>
      <c r="I13">
        <v>9.1025697217365806</v>
      </c>
      <c r="J13">
        <v>8.9499499559597009</v>
      </c>
      <c r="K13">
        <v>0.47289415927758299</v>
      </c>
      <c r="L13">
        <v>37.066170068867997</v>
      </c>
      <c r="M13">
        <v>44.8229682592359</v>
      </c>
      <c r="N13">
        <v>2254.06864702946</v>
      </c>
      <c r="O13">
        <v>1841</v>
      </c>
      <c r="P13">
        <v>2828</v>
      </c>
      <c r="R13">
        <v>30840</v>
      </c>
      <c r="S13">
        <v>25237800</v>
      </c>
      <c r="T13">
        <v>300012</v>
      </c>
      <c r="U13">
        <v>100012</v>
      </c>
    </row>
    <row r="14" spans="1:21" x14ac:dyDescent="0.25">
      <c r="A14">
        <v>13</v>
      </c>
      <c r="C14">
        <v>13</v>
      </c>
      <c r="D14">
        <v>13</v>
      </c>
      <c r="E14">
        <v>1400.48999999998</v>
      </c>
      <c r="F14">
        <v>24.686435699462901</v>
      </c>
      <c r="G14">
        <v>10120.874452023299</v>
      </c>
      <c r="H14">
        <v>15.2392563242914</v>
      </c>
      <c r="I14">
        <v>9.5347492410310597</v>
      </c>
      <c r="J14">
        <v>6.2857588801135398</v>
      </c>
      <c r="K14">
        <v>0.373641715311476</v>
      </c>
      <c r="L14">
        <v>37.093884342927801</v>
      </c>
      <c r="M14">
        <v>45.262063884380801</v>
      </c>
      <c r="N14">
        <v>1767.80978086241</v>
      </c>
      <c r="O14">
        <v>1401</v>
      </c>
      <c r="P14">
        <v>2369</v>
      </c>
      <c r="R14">
        <v>27479.999999999902</v>
      </c>
      <c r="S14">
        <v>14004899.999999801</v>
      </c>
      <c r="T14">
        <v>300013</v>
      </c>
      <c r="U14">
        <v>100013</v>
      </c>
    </row>
    <row r="15" spans="1:21" x14ac:dyDescent="0.25">
      <c r="A15">
        <v>14</v>
      </c>
      <c r="C15">
        <v>14</v>
      </c>
      <c r="D15">
        <v>14</v>
      </c>
      <c r="E15">
        <v>3001.9499999999898</v>
      </c>
      <c r="F15">
        <v>20.6927700042725</v>
      </c>
      <c r="G15">
        <v>10727.7878733696</v>
      </c>
      <c r="H15">
        <v>15.2392563242914</v>
      </c>
      <c r="I15">
        <v>8.1097800429077207</v>
      </c>
      <c r="J15">
        <v>9.9318873025318499</v>
      </c>
      <c r="K15">
        <v>0.506879508058517</v>
      </c>
      <c r="L15">
        <v>37.105885761401098</v>
      </c>
      <c r="M15">
        <v>45.297601599363503</v>
      </c>
      <c r="N15">
        <v>1743.9329036126501</v>
      </c>
      <c r="O15">
        <v>1400</v>
      </c>
      <c r="P15">
        <v>2345</v>
      </c>
      <c r="R15">
        <v>37619.999999999898</v>
      </c>
      <c r="S15">
        <v>30019499.999999899</v>
      </c>
      <c r="T15">
        <v>300014</v>
      </c>
      <c r="U15">
        <v>100014</v>
      </c>
    </row>
    <row r="16" spans="1:21" x14ac:dyDescent="0.25">
      <c r="A16">
        <v>15</v>
      </c>
      <c r="C16">
        <v>15</v>
      </c>
      <c r="D16">
        <v>15</v>
      </c>
      <c r="E16">
        <v>1519.92</v>
      </c>
      <c r="F16">
        <v>38.201423645019503</v>
      </c>
      <c r="G16">
        <v>9950.9859249104393</v>
      </c>
      <c r="H16">
        <v>15.2392563242914</v>
      </c>
      <c r="I16">
        <v>13.455953109611601</v>
      </c>
      <c r="J16">
        <v>6.6021007596709103</v>
      </c>
      <c r="K16">
        <v>0.38607496807229202</v>
      </c>
      <c r="L16">
        <v>37.061309961366902</v>
      </c>
      <c r="M16">
        <v>45.028952802480802</v>
      </c>
      <c r="N16">
        <v>2295.60664377073</v>
      </c>
      <c r="O16">
        <v>1580</v>
      </c>
      <c r="P16">
        <v>3007</v>
      </c>
      <c r="R16">
        <v>25980</v>
      </c>
      <c r="S16">
        <v>15199200</v>
      </c>
      <c r="T16">
        <v>300015</v>
      </c>
      <c r="U16">
        <v>100015</v>
      </c>
    </row>
    <row r="17" spans="1:21" x14ac:dyDescent="0.25">
      <c r="A17">
        <v>16</v>
      </c>
      <c r="C17">
        <v>16</v>
      </c>
      <c r="D17">
        <v>16</v>
      </c>
      <c r="E17">
        <v>1204.56</v>
      </c>
      <c r="F17">
        <v>28.045207977294901</v>
      </c>
      <c r="G17">
        <v>7575.4729393944799</v>
      </c>
      <c r="H17">
        <v>15.2392563242914</v>
      </c>
      <c r="I17">
        <v>9.92677296871328</v>
      </c>
      <c r="J17">
        <v>5.7423118305947298</v>
      </c>
      <c r="K17">
        <v>0.35178290200774098</v>
      </c>
      <c r="L17">
        <v>37.075512212931798</v>
      </c>
      <c r="M17">
        <v>45.067136763656897</v>
      </c>
      <c r="N17">
        <v>1930.70823371189</v>
      </c>
      <c r="O17">
        <v>1582</v>
      </c>
      <c r="P17">
        <v>2334</v>
      </c>
      <c r="R17">
        <v>23820</v>
      </c>
      <c r="S17">
        <v>12045600</v>
      </c>
      <c r="T17">
        <v>300016</v>
      </c>
      <c r="U17">
        <v>100016</v>
      </c>
    </row>
    <row r="18" spans="1:21" x14ac:dyDescent="0.25">
      <c r="A18">
        <v>17</v>
      </c>
      <c r="C18">
        <v>17</v>
      </c>
      <c r="D18">
        <v>17</v>
      </c>
      <c r="E18">
        <v>2687.31</v>
      </c>
      <c r="F18">
        <v>11.3925590515137</v>
      </c>
      <c r="G18">
        <v>11672.712113862201</v>
      </c>
      <c r="H18">
        <v>60.957025297165501</v>
      </c>
      <c r="I18">
        <v>3.4267957274896701</v>
      </c>
      <c r="J18">
        <v>9.2935228534122096</v>
      </c>
      <c r="K18">
        <v>0.48492040543542098</v>
      </c>
      <c r="L18">
        <v>37.082865986945997</v>
      </c>
      <c r="M18">
        <v>45.384778012873198</v>
      </c>
      <c r="N18">
        <v>1496.5042365785901</v>
      </c>
      <c r="O18">
        <v>1315</v>
      </c>
      <c r="P18">
        <v>1955</v>
      </c>
      <c r="R18">
        <v>32940</v>
      </c>
      <c r="S18">
        <v>26873100</v>
      </c>
      <c r="T18">
        <v>300017</v>
      </c>
      <c r="U18">
        <v>100017</v>
      </c>
    </row>
    <row r="19" spans="1:21" x14ac:dyDescent="0.25">
      <c r="A19">
        <v>18</v>
      </c>
      <c r="C19">
        <v>18</v>
      </c>
      <c r="D19">
        <v>18</v>
      </c>
      <c r="E19">
        <v>2797.2</v>
      </c>
      <c r="F19">
        <v>11.0090322494507</v>
      </c>
      <c r="G19">
        <v>13364.2554031779</v>
      </c>
      <c r="H19">
        <v>60.957025297165501</v>
      </c>
      <c r="I19">
        <v>5.7691205139394901</v>
      </c>
      <c r="J19">
        <v>9.5197122668729808</v>
      </c>
      <c r="K19">
        <v>0.49275695194313501</v>
      </c>
      <c r="L19">
        <v>37.069246945530899</v>
      </c>
      <c r="M19">
        <v>45.3488551600649</v>
      </c>
      <c r="N19">
        <v>1518.5093307593299</v>
      </c>
      <c r="O19">
        <v>1315</v>
      </c>
      <c r="P19">
        <v>2089</v>
      </c>
      <c r="R19">
        <v>38040</v>
      </c>
      <c r="S19">
        <v>27972000</v>
      </c>
      <c r="T19">
        <v>300018</v>
      </c>
      <c r="U19">
        <v>100018</v>
      </c>
    </row>
    <row r="20" spans="1:21" x14ac:dyDescent="0.25">
      <c r="A20">
        <v>19</v>
      </c>
      <c r="C20">
        <v>19</v>
      </c>
      <c r="D20">
        <v>19</v>
      </c>
      <c r="E20">
        <v>162.81</v>
      </c>
      <c r="F20">
        <v>34.902725219726598</v>
      </c>
      <c r="G20">
        <v>2537.7564927595799</v>
      </c>
      <c r="H20">
        <v>15.2392563242914</v>
      </c>
      <c r="I20">
        <v>10.757533308609</v>
      </c>
      <c r="J20">
        <v>1.72821733117058</v>
      </c>
      <c r="K20">
        <v>0.15798497392400701</v>
      </c>
      <c r="L20">
        <v>37.048810799091001</v>
      </c>
      <c r="M20">
        <v>45.077100049414298</v>
      </c>
      <c r="N20">
        <v>1658.74129353234</v>
      </c>
      <c r="O20">
        <v>1497</v>
      </c>
      <c r="P20">
        <v>1870</v>
      </c>
      <c r="R20">
        <v>7860</v>
      </c>
      <c r="S20">
        <v>1628100</v>
      </c>
      <c r="T20">
        <v>300019</v>
      </c>
      <c r="U20">
        <v>100117</v>
      </c>
    </row>
    <row r="21" spans="1:21" x14ac:dyDescent="0.25">
      <c r="A21">
        <v>20</v>
      </c>
      <c r="C21">
        <v>20</v>
      </c>
      <c r="D21">
        <v>20</v>
      </c>
      <c r="E21">
        <v>1284.57</v>
      </c>
      <c r="F21">
        <v>18.996477127075199</v>
      </c>
      <c r="G21">
        <v>11549.5140623191</v>
      </c>
      <c r="H21">
        <v>18.287107589149599</v>
      </c>
      <c r="I21">
        <v>7.9310696108721599</v>
      </c>
      <c r="J21">
        <v>5.9682138400520799</v>
      </c>
      <c r="K21">
        <v>0.36094951483527998</v>
      </c>
      <c r="L21">
        <v>37.078213386026199</v>
      </c>
      <c r="M21">
        <v>45.1010671777304</v>
      </c>
      <c r="N21">
        <v>1787.9824844111299</v>
      </c>
      <c r="O21">
        <v>1398</v>
      </c>
      <c r="P21">
        <v>2318</v>
      </c>
      <c r="R21">
        <v>31740</v>
      </c>
      <c r="S21">
        <v>12845700</v>
      </c>
      <c r="T21">
        <v>300020</v>
      </c>
      <c r="U21">
        <v>100019</v>
      </c>
    </row>
    <row r="22" spans="1:21" x14ac:dyDescent="0.25">
      <c r="A22">
        <v>21</v>
      </c>
      <c r="C22">
        <v>21</v>
      </c>
      <c r="D22">
        <v>21</v>
      </c>
      <c r="E22">
        <v>1657.8</v>
      </c>
      <c r="F22">
        <v>14.5602464675903</v>
      </c>
      <c r="G22">
        <v>11586.7932829456</v>
      </c>
      <c r="H22">
        <v>24.3828101188662</v>
      </c>
      <c r="I22">
        <v>5.1178957414630499</v>
      </c>
      <c r="J22">
        <v>6.9551898886961103</v>
      </c>
      <c r="K22">
        <v>0.39972030160073702</v>
      </c>
      <c r="L22">
        <v>37.080006415675399</v>
      </c>
      <c r="M22">
        <v>45.127514146486803</v>
      </c>
      <c r="N22">
        <v>1580.77052117264</v>
      </c>
      <c r="O22">
        <v>1401</v>
      </c>
      <c r="P22">
        <v>1995</v>
      </c>
      <c r="R22">
        <v>27720</v>
      </c>
      <c r="S22">
        <v>16578000</v>
      </c>
      <c r="T22">
        <v>300021</v>
      </c>
      <c r="U22">
        <v>100020</v>
      </c>
    </row>
    <row r="23" spans="1:21" x14ac:dyDescent="0.25">
      <c r="A23">
        <v>22</v>
      </c>
      <c r="C23">
        <v>22</v>
      </c>
      <c r="D23">
        <v>22</v>
      </c>
      <c r="E23">
        <v>2290.9499999999998</v>
      </c>
      <c r="F23">
        <v>35.343990325927699</v>
      </c>
      <c r="G23">
        <v>10736.3160107925</v>
      </c>
      <c r="H23">
        <v>15.2392563242914</v>
      </c>
      <c r="I23">
        <v>12.6952298966412</v>
      </c>
      <c r="J23">
        <v>8.4449887777146699</v>
      </c>
      <c r="K23">
        <v>0.45493525818984898</v>
      </c>
      <c r="L23">
        <v>37.081703652050898</v>
      </c>
      <c r="M23">
        <v>44.927635915778097</v>
      </c>
      <c r="N23">
        <v>2593.9316833628</v>
      </c>
      <c r="O23">
        <v>1728</v>
      </c>
      <c r="P23">
        <v>3285</v>
      </c>
      <c r="R23">
        <v>30600</v>
      </c>
      <c r="S23">
        <v>22909500</v>
      </c>
      <c r="T23">
        <v>300022</v>
      </c>
      <c r="U23">
        <v>100021</v>
      </c>
    </row>
    <row r="24" spans="1:21" x14ac:dyDescent="0.25">
      <c r="A24">
        <v>23</v>
      </c>
      <c r="C24">
        <v>23</v>
      </c>
      <c r="D24">
        <v>23</v>
      </c>
      <c r="E24">
        <v>282.06</v>
      </c>
      <c r="F24">
        <v>51.819206237792997</v>
      </c>
      <c r="G24">
        <v>3118.2337649174001</v>
      </c>
      <c r="H24">
        <v>15.2392563242914</v>
      </c>
      <c r="I24">
        <v>25.7838270191811</v>
      </c>
      <c r="J24">
        <v>2.4032259853448998</v>
      </c>
      <c r="K24">
        <v>0.196824860784832</v>
      </c>
      <c r="L24">
        <v>37.0387168394195</v>
      </c>
      <c r="M24">
        <v>44.933059616545698</v>
      </c>
      <c r="N24">
        <v>1975.36949585195</v>
      </c>
      <c r="O24">
        <v>1711</v>
      </c>
      <c r="P24">
        <v>2514</v>
      </c>
      <c r="R24">
        <v>10200</v>
      </c>
      <c r="S24">
        <v>2820600</v>
      </c>
      <c r="T24">
        <v>300023</v>
      </c>
      <c r="U24">
        <v>100024</v>
      </c>
    </row>
    <row r="25" spans="1:21" x14ac:dyDescent="0.25">
      <c r="A25">
        <v>24</v>
      </c>
      <c r="C25">
        <v>24</v>
      </c>
      <c r="D25">
        <v>24</v>
      </c>
      <c r="E25">
        <v>1621.98</v>
      </c>
      <c r="F25">
        <v>42.815391540527301</v>
      </c>
      <c r="G25">
        <v>7206.9448019660504</v>
      </c>
      <c r="H25">
        <v>15.2392563242914</v>
      </c>
      <c r="I25">
        <v>20.272113081835201</v>
      </c>
      <c r="J25">
        <v>6.8646279960498404</v>
      </c>
      <c r="K25">
        <v>0.39624295177615199</v>
      </c>
      <c r="L25">
        <v>37.0621080472825</v>
      </c>
      <c r="M25">
        <v>44.961314303830399</v>
      </c>
      <c r="N25">
        <v>2454.5903895239198</v>
      </c>
      <c r="O25">
        <v>1716</v>
      </c>
      <c r="P25">
        <v>3181</v>
      </c>
      <c r="R25">
        <v>21300</v>
      </c>
      <c r="S25">
        <v>16219800</v>
      </c>
      <c r="T25">
        <v>300024</v>
      </c>
      <c r="U25">
        <v>100023</v>
      </c>
    </row>
    <row r="26" spans="1:21" x14ac:dyDescent="0.25">
      <c r="A26">
        <v>25</v>
      </c>
      <c r="C26">
        <v>25</v>
      </c>
      <c r="D26">
        <v>25</v>
      </c>
      <c r="E26">
        <v>2206.35</v>
      </c>
      <c r="F26">
        <v>48.037101745605497</v>
      </c>
      <c r="G26">
        <v>9784.4783489498695</v>
      </c>
      <c r="H26">
        <v>15.2392563242914</v>
      </c>
      <c r="I26">
        <v>6.3978883459554696</v>
      </c>
      <c r="J26">
        <v>8.2564689978906305</v>
      </c>
      <c r="K26">
        <v>0.44813938633395101</v>
      </c>
      <c r="L26">
        <v>37.040837897360497</v>
      </c>
      <c r="M26">
        <v>44.897270246745897</v>
      </c>
      <c r="N26">
        <v>2077.7940036712198</v>
      </c>
      <c r="O26">
        <v>1728</v>
      </c>
      <c r="P26">
        <v>2618</v>
      </c>
      <c r="R26">
        <v>28920</v>
      </c>
      <c r="S26">
        <v>22063500</v>
      </c>
      <c r="T26">
        <v>300025</v>
      </c>
      <c r="U26">
        <v>100022</v>
      </c>
    </row>
    <row r="27" spans="1:21" x14ac:dyDescent="0.25">
      <c r="A27">
        <v>26</v>
      </c>
      <c r="C27">
        <v>26</v>
      </c>
      <c r="D27">
        <v>26</v>
      </c>
      <c r="E27">
        <v>1098.0899999999999</v>
      </c>
      <c r="F27">
        <v>11.907121658325201</v>
      </c>
      <c r="G27">
        <v>11264.9556211155</v>
      </c>
      <c r="H27">
        <v>60.957025297165501</v>
      </c>
      <c r="I27">
        <v>6.2405927164263701</v>
      </c>
      <c r="J27">
        <v>5.4321589865285196</v>
      </c>
      <c r="K27">
        <v>0.33899908573493898</v>
      </c>
      <c r="L27">
        <v>37.0455409687087</v>
      </c>
      <c r="M27">
        <v>45.116567505168</v>
      </c>
      <c r="N27">
        <v>1570.9486927301</v>
      </c>
      <c r="O27">
        <v>1391</v>
      </c>
      <c r="P27">
        <v>2094</v>
      </c>
      <c r="R27">
        <v>32160</v>
      </c>
      <c r="S27">
        <v>10980900</v>
      </c>
      <c r="T27">
        <v>300026</v>
      </c>
      <c r="U27">
        <v>100025</v>
      </c>
    </row>
    <row r="28" spans="1:21" x14ac:dyDescent="0.25">
      <c r="A28">
        <v>27</v>
      </c>
      <c r="C28">
        <v>27</v>
      </c>
      <c r="D28">
        <v>27</v>
      </c>
      <c r="E28">
        <v>3053.07</v>
      </c>
      <c r="F28">
        <v>23.216058731079102</v>
      </c>
      <c r="G28">
        <v>12508.6309447977</v>
      </c>
      <c r="H28">
        <v>15.2392563242914</v>
      </c>
      <c r="I28">
        <v>4.2290799235707803</v>
      </c>
      <c r="J28">
        <v>10.0330220654089</v>
      </c>
      <c r="K28">
        <v>0.51031467454381096</v>
      </c>
      <c r="L28">
        <v>37.083011334554698</v>
      </c>
      <c r="M28">
        <v>45.167228391177503</v>
      </c>
      <c r="N28">
        <v>1621.8937004392301</v>
      </c>
      <c r="O28">
        <v>1392</v>
      </c>
      <c r="P28">
        <v>2218</v>
      </c>
      <c r="R28">
        <v>37200</v>
      </c>
      <c r="S28">
        <v>30530700</v>
      </c>
      <c r="T28">
        <v>300027</v>
      </c>
      <c r="U28">
        <v>100026</v>
      </c>
    </row>
    <row r="29" spans="1:21" x14ac:dyDescent="0.25">
      <c r="A29">
        <v>28</v>
      </c>
      <c r="C29">
        <v>28</v>
      </c>
      <c r="D29">
        <v>28</v>
      </c>
      <c r="E29">
        <v>1748.43</v>
      </c>
      <c r="F29">
        <v>7.9929537773132298</v>
      </c>
      <c r="G29">
        <v>13233.2294321504</v>
      </c>
      <c r="H29">
        <v>60.957025297165501</v>
      </c>
      <c r="I29">
        <v>1.4131093317681001</v>
      </c>
      <c r="J29">
        <v>7.1808963823981404</v>
      </c>
      <c r="K29">
        <v>0.40832187986826102</v>
      </c>
      <c r="L29">
        <v>37.035543689707403</v>
      </c>
      <c r="M29">
        <v>45.409183669009501</v>
      </c>
      <c r="N29">
        <v>1323.8761002728199</v>
      </c>
      <c r="O29">
        <v>1275</v>
      </c>
      <c r="P29">
        <v>1476</v>
      </c>
      <c r="R29">
        <v>35700</v>
      </c>
      <c r="S29">
        <v>17484300</v>
      </c>
      <c r="T29">
        <v>300028</v>
      </c>
      <c r="U29">
        <v>100028</v>
      </c>
    </row>
    <row r="30" spans="1:21" x14ac:dyDescent="0.25">
      <c r="A30">
        <v>29</v>
      </c>
      <c r="C30">
        <v>29</v>
      </c>
      <c r="D30">
        <v>29</v>
      </c>
      <c r="E30">
        <v>1934.46</v>
      </c>
      <c r="F30">
        <v>6.6234230995178196</v>
      </c>
      <c r="G30">
        <v>12295.0670939925</v>
      </c>
      <c r="H30">
        <v>60.957025297165501</v>
      </c>
      <c r="I30">
        <v>2.35866951992231</v>
      </c>
      <c r="J30">
        <v>7.6300180032648699</v>
      </c>
      <c r="K30">
        <v>0.42517454331193699</v>
      </c>
      <c r="L30">
        <v>37.050633011563598</v>
      </c>
      <c r="M30">
        <v>45.442537982103502</v>
      </c>
      <c r="N30">
        <v>1321.9853447473699</v>
      </c>
      <c r="O30">
        <v>1274</v>
      </c>
      <c r="P30">
        <v>1573</v>
      </c>
      <c r="R30">
        <v>29880</v>
      </c>
      <c r="S30">
        <v>19344600</v>
      </c>
      <c r="T30">
        <v>300029</v>
      </c>
      <c r="U30">
        <v>100027</v>
      </c>
    </row>
    <row r="31" spans="1:21" x14ac:dyDescent="0.25">
      <c r="A31">
        <v>30</v>
      </c>
      <c r="C31">
        <v>30</v>
      </c>
      <c r="D31">
        <v>30</v>
      </c>
      <c r="E31">
        <v>60.3</v>
      </c>
      <c r="F31">
        <v>3.98620676994324</v>
      </c>
      <c r="G31">
        <v>5493.59523141713</v>
      </c>
      <c r="H31">
        <v>91.435537945748194</v>
      </c>
      <c r="I31">
        <v>0.12742110958535799</v>
      </c>
      <c r="J31">
        <v>0.95231384349787496</v>
      </c>
      <c r="K31">
        <v>0.10618673737701</v>
      </c>
      <c r="L31">
        <v>37.025557441165397</v>
      </c>
      <c r="M31">
        <v>45.481137517781498</v>
      </c>
      <c r="N31">
        <v>1282.9402985074601</v>
      </c>
      <c r="O31">
        <v>1278</v>
      </c>
      <c r="P31">
        <v>1293</v>
      </c>
      <c r="R31">
        <v>20760</v>
      </c>
      <c r="S31">
        <v>603000</v>
      </c>
      <c r="T31">
        <v>300030</v>
      </c>
      <c r="U31">
        <v>100030</v>
      </c>
    </row>
    <row r="32" spans="1:21" x14ac:dyDescent="0.25">
      <c r="A32">
        <v>31</v>
      </c>
      <c r="C32">
        <v>31</v>
      </c>
      <c r="D32">
        <v>31</v>
      </c>
      <c r="E32">
        <v>2200.5</v>
      </c>
      <c r="F32">
        <v>7.8301830291748002</v>
      </c>
      <c r="G32">
        <v>8257.8593001296504</v>
      </c>
      <c r="H32">
        <v>60.957025297165501</v>
      </c>
      <c r="I32">
        <v>1.7195739820581699</v>
      </c>
      <c r="J32">
        <v>8.2433271151107093</v>
      </c>
      <c r="K32">
        <v>0.44766372224092399</v>
      </c>
      <c r="L32">
        <v>37.055502905191602</v>
      </c>
      <c r="M32">
        <v>45.483554925322302</v>
      </c>
      <c r="N32">
        <v>1324.8229038854799</v>
      </c>
      <c r="O32">
        <v>1274</v>
      </c>
      <c r="P32">
        <v>1477</v>
      </c>
      <c r="R32">
        <v>28080</v>
      </c>
      <c r="S32">
        <v>22005000</v>
      </c>
      <c r="T32">
        <v>300031</v>
      </c>
      <c r="U32">
        <v>100029</v>
      </c>
    </row>
    <row r="33" spans="1:21" x14ac:dyDescent="0.25">
      <c r="A33">
        <v>32</v>
      </c>
      <c r="C33">
        <v>32</v>
      </c>
      <c r="D33">
        <v>32</v>
      </c>
      <c r="E33">
        <v>369.09</v>
      </c>
      <c r="F33">
        <v>3.1529779434204102</v>
      </c>
      <c r="G33">
        <v>5806.3560569438796</v>
      </c>
      <c r="H33">
        <v>91.435537945748194</v>
      </c>
      <c r="I33">
        <v>0.49945266386684301</v>
      </c>
      <c r="J33">
        <v>2.82402851461937</v>
      </c>
      <c r="K33">
        <v>0.21917764880763799</v>
      </c>
      <c r="L33">
        <v>37.030076189593501</v>
      </c>
      <c r="M33">
        <v>45.157257430158602</v>
      </c>
      <c r="N33">
        <v>1390.7051938551599</v>
      </c>
      <c r="O33">
        <v>1373</v>
      </c>
      <c r="P33">
        <v>1493</v>
      </c>
      <c r="R33">
        <v>17880</v>
      </c>
      <c r="S33">
        <v>3690900</v>
      </c>
      <c r="T33">
        <v>300032</v>
      </c>
      <c r="U33">
        <v>100031</v>
      </c>
    </row>
    <row r="34" spans="1:21" x14ac:dyDescent="0.25">
      <c r="A34">
        <v>33</v>
      </c>
      <c r="C34">
        <v>33</v>
      </c>
      <c r="D34">
        <v>33</v>
      </c>
      <c r="E34">
        <v>2303.5500000000002</v>
      </c>
      <c r="F34">
        <v>27.962232589721701</v>
      </c>
      <c r="G34">
        <v>12945.1385207331</v>
      </c>
      <c r="H34">
        <v>15.2392563242914</v>
      </c>
      <c r="I34">
        <v>6.7901938522494802</v>
      </c>
      <c r="J34">
        <v>8.4728261672435092</v>
      </c>
      <c r="K34">
        <v>0.45593445135636201</v>
      </c>
      <c r="L34">
        <v>37.0651807832662</v>
      </c>
      <c r="M34">
        <v>45.198394961029898</v>
      </c>
      <c r="N34">
        <v>1690.37476069545</v>
      </c>
      <c r="O34">
        <v>1370</v>
      </c>
      <c r="P34">
        <v>2296</v>
      </c>
      <c r="R34">
        <v>36960</v>
      </c>
      <c r="S34">
        <v>23035500</v>
      </c>
      <c r="T34">
        <v>300033</v>
      </c>
      <c r="U34">
        <v>100032</v>
      </c>
    </row>
    <row r="35" spans="1:21" x14ac:dyDescent="0.25">
      <c r="A35">
        <v>34</v>
      </c>
      <c r="C35">
        <v>34</v>
      </c>
      <c r="D35">
        <v>34</v>
      </c>
      <c r="E35">
        <v>477.9</v>
      </c>
      <c r="F35">
        <v>56.6817436218262</v>
      </c>
      <c r="G35">
        <v>4217.2391744828101</v>
      </c>
      <c r="H35">
        <v>15.2392563242914</v>
      </c>
      <c r="I35">
        <v>12.9231465765002</v>
      </c>
      <c r="J35">
        <v>3.2975540943545298</v>
      </c>
      <c r="K35">
        <v>0.243040228323191</v>
      </c>
      <c r="L35">
        <v>37.032024712137698</v>
      </c>
      <c r="M35">
        <v>44.948046766457203</v>
      </c>
      <c r="N35">
        <v>1948.4197740113</v>
      </c>
      <c r="O35">
        <v>1643</v>
      </c>
      <c r="P35">
        <v>2582</v>
      </c>
      <c r="R35">
        <v>12960</v>
      </c>
      <c r="S35">
        <v>4779000</v>
      </c>
      <c r="T35">
        <v>300034</v>
      </c>
      <c r="U35">
        <v>100033</v>
      </c>
    </row>
    <row r="36" spans="1:21" x14ac:dyDescent="0.25">
      <c r="A36">
        <v>35</v>
      </c>
      <c r="C36">
        <v>35</v>
      </c>
      <c r="D36">
        <v>35</v>
      </c>
      <c r="E36">
        <v>42.12</v>
      </c>
      <c r="F36">
        <v>2.2769179344177202</v>
      </c>
      <c r="G36">
        <v>1458.82250994183</v>
      </c>
      <c r="H36">
        <v>91.435537945748194</v>
      </c>
      <c r="I36">
        <v>0.479839045003433</v>
      </c>
      <c r="J36">
        <v>0.76786120804319702</v>
      </c>
      <c r="K36">
        <v>9.1989592989083893E-2</v>
      </c>
      <c r="L36">
        <v>37.020226654859499</v>
      </c>
      <c r="M36">
        <v>45.1852617843685</v>
      </c>
      <c r="N36">
        <v>1373.78418803419</v>
      </c>
      <c r="O36">
        <v>1369</v>
      </c>
      <c r="P36">
        <v>1379</v>
      </c>
      <c r="R36">
        <v>3900</v>
      </c>
      <c r="S36">
        <v>421200</v>
      </c>
      <c r="T36">
        <v>300035</v>
      </c>
      <c r="U36">
        <v>100035</v>
      </c>
    </row>
    <row r="37" spans="1:21" x14ac:dyDescent="0.25">
      <c r="A37">
        <v>36</v>
      </c>
      <c r="C37">
        <v>36</v>
      </c>
      <c r="D37">
        <v>36</v>
      </c>
      <c r="E37">
        <v>79.92</v>
      </c>
      <c r="F37">
        <v>6.2361478805542001</v>
      </c>
      <c r="G37">
        <v>2663.9696961914301</v>
      </c>
      <c r="H37">
        <v>60.957025297165501</v>
      </c>
      <c r="I37">
        <v>0.112613893629833</v>
      </c>
      <c r="J37">
        <v>1.12767251504809</v>
      </c>
      <c r="K37">
        <v>0.118851739500172</v>
      </c>
      <c r="L37">
        <v>37.023973619668404</v>
      </c>
      <c r="M37">
        <v>45.4972239030647</v>
      </c>
      <c r="N37">
        <v>1288.68130630631</v>
      </c>
      <c r="O37">
        <v>1270</v>
      </c>
      <c r="P37">
        <v>1323</v>
      </c>
      <c r="R37">
        <v>7920</v>
      </c>
      <c r="S37">
        <v>799200</v>
      </c>
      <c r="T37">
        <v>300036</v>
      </c>
      <c r="U37">
        <v>100037</v>
      </c>
    </row>
    <row r="38" spans="1:21" x14ac:dyDescent="0.25">
      <c r="A38">
        <v>37</v>
      </c>
      <c r="C38">
        <v>37</v>
      </c>
      <c r="D38">
        <v>37</v>
      </c>
      <c r="E38">
        <v>16.649999999999999</v>
      </c>
      <c r="F38">
        <v>4.1489663124084499</v>
      </c>
      <c r="G38">
        <v>602.13203435809999</v>
      </c>
      <c r="H38">
        <v>91.435537945748194</v>
      </c>
      <c r="I38">
        <v>0.49822959563979002</v>
      </c>
      <c r="J38">
        <v>0.43998538727348302</v>
      </c>
      <c r="K38">
        <v>6.3461312142724394E-2</v>
      </c>
      <c r="L38">
        <v>37.018240948729797</v>
      </c>
      <c r="M38">
        <v>45.5040961464181</v>
      </c>
      <c r="N38">
        <v>1286.1513513513501</v>
      </c>
      <c r="O38">
        <v>1280</v>
      </c>
      <c r="P38">
        <v>1291</v>
      </c>
      <c r="R38">
        <v>2400</v>
      </c>
      <c r="S38">
        <v>166500</v>
      </c>
      <c r="T38">
        <v>300037</v>
      </c>
      <c r="U38">
        <v>100038</v>
      </c>
    </row>
    <row r="39" spans="1:21" x14ac:dyDescent="0.25">
      <c r="A39">
        <v>38</v>
      </c>
      <c r="C39">
        <v>38</v>
      </c>
      <c r="D39">
        <v>38</v>
      </c>
      <c r="E39">
        <v>788.31</v>
      </c>
      <c r="F39">
        <v>5.0791459083557102</v>
      </c>
      <c r="G39">
        <v>12442.417741364299</v>
      </c>
      <c r="H39">
        <v>60.957025297165501</v>
      </c>
      <c r="I39">
        <v>2.4834401675226099</v>
      </c>
      <c r="J39">
        <v>4.4525410464766697</v>
      </c>
      <c r="K39">
        <v>0.29690818258623503</v>
      </c>
      <c r="L39">
        <v>37.0321142697059</v>
      </c>
      <c r="M39">
        <v>45.124836364438501</v>
      </c>
      <c r="N39">
        <v>1423.4481105149</v>
      </c>
      <c r="O39">
        <v>1374</v>
      </c>
      <c r="P39">
        <v>1723</v>
      </c>
      <c r="R39">
        <v>34020</v>
      </c>
      <c r="S39">
        <v>7883100</v>
      </c>
      <c r="T39">
        <v>300038</v>
      </c>
      <c r="U39">
        <v>100034</v>
      </c>
    </row>
    <row r="40" spans="1:21" x14ac:dyDescent="0.25">
      <c r="A40">
        <v>39</v>
      </c>
      <c r="C40">
        <v>39</v>
      </c>
      <c r="D40">
        <v>39</v>
      </c>
      <c r="E40">
        <v>1775.88</v>
      </c>
      <c r="F40">
        <v>4.2425980567932102</v>
      </c>
      <c r="G40">
        <v>12696.793282951499</v>
      </c>
      <c r="H40">
        <v>91.435537945748194</v>
      </c>
      <c r="I40">
        <v>0.51981629163499898</v>
      </c>
      <c r="J40">
        <v>7.2483287061458599</v>
      </c>
      <c r="K40">
        <v>0.41087413122901301</v>
      </c>
      <c r="L40">
        <v>36.994400196919599</v>
      </c>
      <c r="M40">
        <v>45.483134309121503</v>
      </c>
      <c r="N40">
        <v>1290.4482566389599</v>
      </c>
      <c r="O40">
        <v>1277</v>
      </c>
      <c r="P40">
        <v>1354</v>
      </c>
      <c r="R40">
        <v>36900</v>
      </c>
      <c r="S40">
        <v>17758800</v>
      </c>
      <c r="T40">
        <v>300039</v>
      </c>
      <c r="U40">
        <v>100040</v>
      </c>
    </row>
    <row r="41" spans="1:21" x14ac:dyDescent="0.25">
      <c r="A41">
        <v>40</v>
      </c>
      <c r="C41">
        <v>40</v>
      </c>
      <c r="D41">
        <v>40</v>
      </c>
      <c r="E41">
        <v>1696.77</v>
      </c>
      <c r="F41">
        <v>15.5212955474854</v>
      </c>
      <c r="G41">
        <v>11995.6157928948</v>
      </c>
      <c r="H41">
        <v>24.3828101188662</v>
      </c>
      <c r="I41">
        <v>11.004020325341299</v>
      </c>
      <c r="J41">
        <v>7.0528313098269297</v>
      </c>
      <c r="K41">
        <v>0.403452622783605</v>
      </c>
      <c r="L41">
        <v>37.033155250230699</v>
      </c>
      <c r="M41">
        <v>45.069750548735001</v>
      </c>
      <c r="N41">
        <v>1644.68737071023</v>
      </c>
      <c r="O41">
        <v>1407</v>
      </c>
      <c r="P41">
        <v>2728</v>
      </c>
      <c r="R41">
        <v>27720</v>
      </c>
      <c r="S41">
        <v>16967700</v>
      </c>
      <c r="T41">
        <v>300040</v>
      </c>
      <c r="U41">
        <v>100041</v>
      </c>
    </row>
    <row r="42" spans="1:21" x14ac:dyDescent="0.25">
      <c r="A42">
        <v>41</v>
      </c>
      <c r="C42">
        <v>41</v>
      </c>
      <c r="D42">
        <v>41</v>
      </c>
      <c r="E42">
        <v>1025.46</v>
      </c>
      <c r="F42">
        <v>14.7540798187256</v>
      </c>
      <c r="G42">
        <v>13255.432893261701</v>
      </c>
      <c r="H42">
        <v>24.3828101188662</v>
      </c>
      <c r="I42">
        <v>10.373105209555</v>
      </c>
      <c r="J42">
        <v>5.2136388601179</v>
      </c>
      <c r="K42">
        <v>0.32984571163049597</v>
      </c>
      <c r="L42">
        <v>37.021102426243701</v>
      </c>
      <c r="M42">
        <v>45.058624058813699</v>
      </c>
      <c r="N42">
        <v>1665.2808495699501</v>
      </c>
      <c r="O42">
        <v>1407</v>
      </c>
      <c r="P42">
        <v>2789</v>
      </c>
      <c r="R42">
        <v>32160</v>
      </c>
      <c r="S42">
        <v>10254600</v>
      </c>
      <c r="T42">
        <v>300041</v>
      </c>
      <c r="U42">
        <v>100042</v>
      </c>
    </row>
    <row r="43" spans="1:21" x14ac:dyDescent="0.25">
      <c r="A43">
        <v>42</v>
      </c>
      <c r="C43">
        <v>42</v>
      </c>
      <c r="D43">
        <v>42</v>
      </c>
      <c r="E43">
        <v>95.4</v>
      </c>
      <c r="F43">
        <v>2.6463091373443599</v>
      </c>
      <c r="G43">
        <v>2149.0054095718801</v>
      </c>
      <c r="H43">
        <v>91.435537945748194</v>
      </c>
      <c r="I43">
        <v>1.16332885383385</v>
      </c>
      <c r="J43">
        <v>1.25406121129365</v>
      </c>
      <c r="K43">
        <v>0.12757415551906301</v>
      </c>
      <c r="L43">
        <v>37.022753981288901</v>
      </c>
      <c r="M43">
        <v>45.1963646882093</v>
      </c>
      <c r="N43">
        <v>1372.8820754717001</v>
      </c>
      <c r="O43">
        <v>1365</v>
      </c>
      <c r="P43">
        <v>1391</v>
      </c>
      <c r="R43">
        <v>6480</v>
      </c>
      <c r="S43">
        <v>954000</v>
      </c>
      <c r="T43">
        <v>300042</v>
      </c>
      <c r="U43">
        <v>100043</v>
      </c>
    </row>
    <row r="44" spans="1:21" x14ac:dyDescent="0.25">
      <c r="A44">
        <v>43</v>
      </c>
      <c r="C44">
        <v>43</v>
      </c>
      <c r="D44">
        <v>43</v>
      </c>
      <c r="E44">
        <v>1227.5999999999999</v>
      </c>
      <c r="F44">
        <v>27.326158523559599</v>
      </c>
      <c r="G44">
        <v>10363.706704303801</v>
      </c>
      <c r="H44">
        <v>15.2392563242914</v>
      </c>
      <c r="I44">
        <v>8.2885402347721495</v>
      </c>
      <c r="J44">
        <v>5.8079629619536997</v>
      </c>
      <c r="K44">
        <v>0.35445907859362302</v>
      </c>
      <c r="L44">
        <v>37.051668837267698</v>
      </c>
      <c r="M44">
        <v>45.214773506593197</v>
      </c>
      <c r="N44">
        <v>1681.83760997067</v>
      </c>
      <c r="O44">
        <v>1364</v>
      </c>
      <c r="P44">
        <v>2227</v>
      </c>
      <c r="R44">
        <v>24420</v>
      </c>
      <c r="S44">
        <v>12276000</v>
      </c>
      <c r="T44">
        <v>300043</v>
      </c>
      <c r="U44">
        <v>100044</v>
      </c>
    </row>
    <row r="45" spans="1:21" x14ac:dyDescent="0.25">
      <c r="A45">
        <v>44</v>
      </c>
      <c r="C45">
        <v>44</v>
      </c>
      <c r="D45">
        <v>44</v>
      </c>
      <c r="E45">
        <v>440.73</v>
      </c>
      <c r="F45">
        <v>4.82409572601318</v>
      </c>
      <c r="G45">
        <v>4202.8636328839002</v>
      </c>
      <c r="H45">
        <v>91.435537945748194</v>
      </c>
      <c r="I45">
        <v>1.0469052494527</v>
      </c>
      <c r="J45">
        <v>3.1411832891507299</v>
      </c>
      <c r="K45">
        <v>0.235294836997503</v>
      </c>
      <c r="L45">
        <v>37.020332237056799</v>
      </c>
      <c r="M45">
        <v>45.5158740904347</v>
      </c>
      <c r="N45">
        <v>1286.8245864815201</v>
      </c>
      <c r="O45">
        <v>1276</v>
      </c>
      <c r="P45">
        <v>1331</v>
      </c>
      <c r="R45">
        <v>15060</v>
      </c>
      <c r="S45">
        <v>4407300</v>
      </c>
      <c r="T45">
        <v>300044</v>
      </c>
      <c r="U45">
        <v>100045</v>
      </c>
    </row>
    <row r="46" spans="1:21" x14ac:dyDescent="0.25">
      <c r="A46">
        <v>45</v>
      </c>
      <c r="C46">
        <v>45</v>
      </c>
      <c r="D46">
        <v>45</v>
      </c>
      <c r="E46">
        <v>2109.2399999999998</v>
      </c>
      <c r="F46">
        <v>10.5253963470459</v>
      </c>
      <c r="G46">
        <v>8895.4729393963607</v>
      </c>
      <c r="H46">
        <v>60.957025297165501</v>
      </c>
      <c r="I46">
        <v>3.93458563006714</v>
      </c>
      <c r="J46">
        <v>8.0364696619591705</v>
      </c>
      <c r="K46">
        <v>0.44014295191623798</v>
      </c>
      <c r="L46">
        <v>37.041781298347999</v>
      </c>
      <c r="M46">
        <v>45.537336473564601</v>
      </c>
      <c r="N46">
        <v>1333.47124082608</v>
      </c>
      <c r="O46">
        <v>1271</v>
      </c>
      <c r="P46">
        <v>1649</v>
      </c>
      <c r="R46">
        <v>31260</v>
      </c>
      <c r="S46">
        <v>21092400</v>
      </c>
      <c r="T46">
        <v>300045</v>
      </c>
      <c r="U46">
        <v>100046</v>
      </c>
    </row>
    <row r="47" spans="1:21" x14ac:dyDescent="0.25">
      <c r="A47">
        <v>46</v>
      </c>
      <c r="C47">
        <v>46</v>
      </c>
      <c r="D47">
        <v>46</v>
      </c>
      <c r="E47">
        <v>293.67</v>
      </c>
      <c r="F47">
        <v>2.7769153118133501</v>
      </c>
      <c r="G47">
        <v>5957.4220741178897</v>
      </c>
      <c r="H47">
        <v>91.435537945748194</v>
      </c>
      <c r="I47">
        <v>0.77214606297323896</v>
      </c>
      <c r="J47">
        <v>2.4620987079492398</v>
      </c>
      <c r="K47">
        <v>0.20002633867194</v>
      </c>
      <c r="L47">
        <v>37.0144296968028</v>
      </c>
      <c r="M47">
        <v>45.115144943017199</v>
      </c>
      <c r="N47">
        <v>1411.6512411890899</v>
      </c>
      <c r="O47">
        <v>1389</v>
      </c>
      <c r="P47">
        <v>1437</v>
      </c>
      <c r="R47">
        <v>18720</v>
      </c>
      <c r="S47">
        <v>2936700</v>
      </c>
      <c r="T47">
        <v>300046</v>
      </c>
      <c r="U47">
        <v>100047</v>
      </c>
    </row>
    <row r="48" spans="1:21" x14ac:dyDescent="0.25">
      <c r="A48">
        <v>47</v>
      </c>
      <c r="C48">
        <v>47</v>
      </c>
      <c r="D48">
        <v>47</v>
      </c>
      <c r="E48">
        <v>1988.01</v>
      </c>
      <c r="F48">
        <v>3.7921228408813499</v>
      </c>
      <c r="G48">
        <v>12066.7932829371</v>
      </c>
      <c r="H48">
        <v>91.435537945748194</v>
      </c>
      <c r="I48">
        <v>2.0303654355829601</v>
      </c>
      <c r="J48">
        <v>7.7560544460026097</v>
      </c>
      <c r="K48">
        <v>0.429843910097647</v>
      </c>
      <c r="L48">
        <v>37.004560488219902</v>
      </c>
      <c r="M48">
        <v>45.1555925590051</v>
      </c>
      <c r="N48">
        <v>1398.7323101996501</v>
      </c>
      <c r="O48">
        <v>1357</v>
      </c>
      <c r="P48">
        <v>1604</v>
      </c>
      <c r="R48">
        <v>42360</v>
      </c>
      <c r="S48">
        <v>19880100</v>
      </c>
      <c r="T48">
        <v>300047</v>
      </c>
      <c r="U48">
        <v>100049</v>
      </c>
    </row>
    <row r="49" spans="1:21" x14ac:dyDescent="0.25">
      <c r="A49">
        <v>48</v>
      </c>
      <c r="C49">
        <v>48</v>
      </c>
      <c r="D49">
        <v>48</v>
      </c>
      <c r="E49">
        <v>100.62</v>
      </c>
      <c r="F49">
        <v>2.3371102809906001</v>
      </c>
      <c r="G49">
        <v>3122.4978336250301</v>
      </c>
      <c r="H49">
        <v>91.435537945748194</v>
      </c>
      <c r="I49">
        <v>0.51241028345005901</v>
      </c>
      <c r="J49">
        <v>1.29479286664104</v>
      </c>
      <c r="K49">
        <v>0.13032180231093299</v>
      </c>
      <c r="L49">
        <v>37.014226788805203</v>
      </c>
      <c r="M49">
        <v>45.197698413223797</v>
      </c>
      <c r="N49">
        <v>1367.66100178891</v>
      </c>
      <c r="O49">
        <v>1356</v>
      </c>
      <c r="P49">
        <v>1375</v>
      </c>
      <c r="R49">
        <v>8460</v>
      </c>
      <c r="S49">
        <v>1006200</v>
      </c>
      <c r="T49">
        <v>300048</v>
      </c>
      <c r="U49">
        <v>100050</v>
      </c>
    </row>
    <row r="50" spans="1:21" x14ac:dyDescent="0.25">
      <c r="A50">
        <v>49</v>
      </c>
      <c r="C50">
        <v>49</v>
      </c>
      <c r="D50">
        <v>49</v>
      </c>
      <c r="E50">
        <v>3602.3399999999601</v>
      </c>
      <c r="F50">
        <v>16.489515304565401</v>
      </c>
      <c r="G50">
        <v>16514.6212024657</v>
      </c>
      <c r="H50">
        <v>18.287107589149599</v>
      </c>
      <c r="I50">
        <v>5.4194400769323998</v>
      </c>
      <c r="J50">
        <v>11.0800196496551</v>
      </c>
      <c r="K50">
        <v>0.54522684715527503</v>
      </c>
      <c r="L50">
        <v>37.046705624378298</v>
      </c>
      <c r="M50">
        <v>45.2682495355253</v>
      </c>
      <c r="N50">
        <v>1527.1599960026001</v>
      </c>
      <c r="O50">
        <v>1317</v>
      </c>
      <c r="P50">
        <v>2296</v>
      </c>
      <c r="R50">
        <v>43679.999999999898</v>
      </c>
      <c r="S50">
        <v>36023399.999999598</v>
      </c>
      <c r="T50">
        <v>300049</v>
      </c>
      <c r="U50">
        <v>100051</v>
      </c>
    </row>
    <row r="51" spans="1:21" x14ac:dyDescent="0.25">
      <c r="A51">
        <v>50</v>
      </c>
      <c r="C51">
        <v>50</v>
      </c>
      <c r="D51">
        <v>50</v>
      </c>
      <c r="E51">
        <v>915.48</v>
      </c>
      <c r="F51">
        <v>8.0117664337158203</v>
      </c>
      <c r="G51">
        <v>9462.6406871147792</v>
      </c>
      <c r="H51">
        <v>60.957025297165501</v>
      </c>
      <c r="I51">
        <v>3.9946565921574102</v>
      </c>
      <c r="J51">
        <v>4.87056144800827</v>
      </c>
      <c r="K51">
        <v>0.31521211186603898</v>
      </c>
      <c r="L51">
        <v>36.997463950910003</v>
      </c>
      <c r="M51">
        <v>45.114115611262903</v>
      </c>
      <c r="N51">
        <v>1463.0608533228501</v>
      </c>
      <c r="O51">
        <v>1390</v>
      </c>
      <c r="P51">
        <v>1769</v>
      </c>
      <c r="R51">
        <v>28320</v>
      </c>
      <c r="S51">
        <v>9154800</v>
      </c>
      <c r="T51">
        <v>300050</v>
      </c>
      <c r="U51">
        <v>100048</v>
      </c>
    </row>
    <row r="52" spans="1:21" x14ac:dyDescent="0.25">
      <c r="A52">
        <v>51</v>
      </c>
      <c r="C52">
        <v>51</v>
      </c>
      <c r="D52">
        <v>51</v>
      </c>
      <c r="E52">
        <v>2479.23</v>
      </c>
      <c r="F52">
        <v>9.4833593368530291</v>
      </c>
      <c r="G52">
        <v>14977.5248814713</v>
      </c>
      <c r="H52">
        <v>60.957025297165501</v>
      </c>
      <c r="I52">
        <v>2.31680469734538</v>
      </c>
      <c r="J52">
        <v>8.8548213060674694</v>
      </c>
      <c r="K52">
        <v>0.46953727989418598</v>
      </c>
      <c r="L52">
        <v>37.043773421228003</v>
      </c>
      <c r="M52">
        <v>45.317264134600997</v>
      </c>
      <c r="N52">
        <v>1414.4791447344501</v>
      </c>
      <c r="O52">
        <v>1314</v>
      </c>
      <c r="P52">
        <v>1665</v>
      </c>
      <c r="R52">
        <v>45120</v>
      </c>
      <c r="S52">
        <v>24792300</v>
      </c>
      <c r="T52">
        <v>300051</v>
      </c>
      <c r="U52">
        <v>100055</v>
      </c>
    </row>
    <row r="53" spans="1:21" x14ac:dyDescent="0.25">
      <c r="A53">
        <v>52</v>
      </c>
      <c r="C53">
        <v>52</v>
      </c>
      <c r="D53">
        <v>52</v>
      </c>
      <c r="E53">
        <v>12.24</v>
      </c>
      <c r="F53">
        <v>2.8388421535491899</v>
      </c>
      <c r="G53">
        <v>650.77164465737201</v>
      </c>
      <c r="H53">
        <v>91.435537945748194</v>
      </c>
      <c r="I53">
        <v>0.46099119785397003</v>
      </c>
      <c r="J53">
        <v>0.36581251644763702</v>
      </c>
      <c r="K53">
        <v>5.6112022079862899E-2</v>
      </c>
      <c r="L53">
        <v>36.997967645990897</v>
      </c>
      <c r="M53">
        <v>45.320345021662099</v>
      </c>
      <c r="N53">
        <v>1319.2794117647099</v>
      </c>
      <c r="O53">
        <v>1316</v>
      </c>
      <c r="P53">
        <v>1325</v>
      </c>
      <c r="R53">
        <v>2340</v>
      </c>
      <c r="S53">
        <v>122400</v>
      </c>
      <c r="T53">
        <v>300052</v>
      </c>
      <c r="U53">
        <v>100056</v>
      </c>
    </row>
    <row r="54" spans="1:21" x14ac:dyDescent="0.25">
      <c r="A54">
        <v>53</v>
      </c>
      <c r="C54">
        <v>53</v>
      </c>
      <c r="D54">
        <v>53</v>
      </c>
      <c r="E54">
        <v>205.65</v>
      </c>
      <c r="F54">
        <v>4.8236875534057599</v>
      </c>
      <c r="G54">
        <v>3426.7619023327602</v>
      </c>
      <c r="H54">
        <v>91.435537945748194</v>
      </c>
      <c r="I54">
        <v>0.55445929835585595</v>
      </c>
      <c r="J54">
        <v>1.98823144719192</v>
      </c>
      <c r="K54">
        <v>0.17345820099922701</v>
      </c>
      <c r="L54">
        <v>37.002537044850897</v>
      </c>
      <c r="M54">
        <v>45.3051304800696</v>
      </c>
      <c r="N54">
        <v>1324.5903719912501</v>
      </c>
      <c r="O54">
        <v>1312</v>
      </c>
      <c r="P54">
        <v>1345</v>
      </c>
      <c r="R54">
        <v>12300</v>
      </c>
      <c r="S54">
        <v>2056500</v>
      </c>
      <c r="T54">
        <v>300053</v>
      </c>
      <c r="U54">
        <v>100057</v>
      </c>
    </row>
    <row r="55" spans="1:21" x14ac:dyDescent="0.25">
      <c r="A55">
        <v>54</v>
      </c>
      <c r="C55">
        <v>54</v>
      </c>
      <c r="D55">
        <v>54</v>
      </c>
      <c r="E55">
        <v>85.77</v>
      </c>
      <c r="F55">
        <v>2.41848516464233</v>
      </c>
      <c r="G55">
        <v>1785.8073580380501</v>
      </c>
      <c r="H55">
        <v>91.435537945748194</v>
      </c>
      <c r="I55">
        <v>0.44797665123236402</v>
      </c>
      <c r="J55">
        <v>1.17649735828615</v>
      </c>
      <c r="K55">
        <v>0.122258064573584</v>
      </c>
      <c r="L55">
        <v>36.999719157768602</v>
      </c>
      <c r="M55">
        <v>45.205199336676102</v>
      </c>
      <c r="N55">
        <v>1360.4994753410299</v>
      </c>
      <c r="O55">
        <v>1355</v>
      </c>
      <c r="P55">
        <v>1367</v>
      </c>
      <c r="R55">
        <v>6420</v>
      </c>
      <c r="S55">
        <v>857700</v>
      </c>
      <c r="T55">
        <v>300054</v>
      </c>
      <c r="U55">
        <v>100059</v>
      </c>
    </row>
    <row r="56" spans="1:21" x14ac:dyDescent="0.25">
      <c r="A56">
        <v>55</v>
      </c>
      <c r="C56">
        <v>55</v>
      </c>
      <c r="D56">
        <v>55</v>
      </c>
      <c r="E56">
        <v>1255.68</v>
      </c>
      <c r="F56">
        <v>16.179328918456999</v>
      </c>
      <c r="G56">
        <v>11146.021638288001</v>
      </c>
      <c r="H56">
        <v>18.287107589149599</v>
      </c>
      <c r="I56">
        <v>5.1139322934918701</v>
      </c>
      <c r="J56">
        <v>5.88731260348254</v>
      </c>
      <c r="K56">
        <v>0.35768023575890401</v>
      </c>
      <c r="L56">
        <v>37.032601946669502</v>
      </c>
      <c r="M56">
        <v>45.228237141268998</v>
      </c>
      <c r="N56">
        <v>1522.2247706421999</v>
      </c>
      <c r="O56">
        <v>1356</v>
      </c>
      <c r="P56">
        <v>1935</v>
      </c>
      <c r="R56">
        <v>26220</v>
      </c>
      <c r="S56">
        <v>12556800</v>
      </c>
      <c r="T56">
        <v>300055</v>
      </c>
      <c r="U56">
        <v>100060</v>
      </c>
    </row>
    <row r="57" spans="1:21" x14ac:dyDescent="0.25">
      <c r="A57">
        <v>56</v>
      </c>
      <c r="C57">
        <v>56</v>
      </c>
      <c r="D57">
        <v>56</v>
      </c>
      <c r="E57">
        <v>2.25</v>
      </c>
      <c r="F57">
        <v>2.20367407798767</v>
      </c>
      <c r="G57">
        <v>252.42640687212401</v>
      </c>
      <c r="H57">
        <v>91.435537945748194</v>
      </c>
      <c r="I57">
        <v>0.39615506649690002</v>
      </c>
      <c r="J57">
        <v>0.13240342549575501</v>
      </c>
      <c r="K57">
        <v>2.8498129756627501E-2</v>
      </c>
      <c r="L57">
        <v>36.995321906576798</v>
      </c>
      <c r="M57">
        <v>45.210656324734302</v>
      </c>
      <c r="N57">
        <v>1356.12</v>
      </c>
      <c r="O57">
        <v>1354</v>
      </c>
      <c r="P57">
        <v>1357</v>
      </c>
      <c r="R57">
        <v>720</v>
      </c>
      <c r="S57">
        <v>22500</v>
      </c>
      <c r="T57">
        <v>300056</v>
      </c>
      <c r="U57">
        <v>100061</v>
      </c>
    </row>
    <row r="58" spans="1:21" x14ac:dyDescent="0.25">
      <c r="A58">
        <v>57</v>
      </c>
      <c r="C58">
        <v>57</v>
      </c>
      <c r="D58">
        <v>57</v>
      </c>
      <c r="E58">
        <v>4195.4399999999996</v>
      </c>
      <c r="F58">
        <v>43.8403930664063</v>
      </c>
      <c r="G58">
        <v>15024.7326753409</v>
      </c>
      <c r="H58">
        <v>15.2392563242914</v>
      </c>
      <c r="I58">
        <v>9.9103260748445692</v>
      </c>
      <c r="J58">
        <v>12.1410491993351</v>
      </c>
      <c r="K58">
        <v>0.57950122468701304</v>
      </c>
      <c r="L58">
        <v>37.0096073596387</v>
      </c>
      <c r="M58">
        <v>44.986734884982098</v>
      </c>
      <c r="N58">
        <v>2021.7995752531299</v>
      </c>
      <c r="O58">
        <v>1474</v>
      </c>
      <c r="P58">
        <v>2967</v>
      </c>
      <c r="R58">
        <v>34860</v>
      </c>
      <c r="S58">
        <v>41954400</v>
      </c>
      <c r="T58">
        <v>300057</v>
      </c>
      <c r="U58">
        <v>100119</v>
      </c>
    </row>
    <row r="59" spans="1:21" x14ac:dyDescent="0.25">
      <c r="A59">
        <v>58</v>
      </c>
      <c r="C59">
        <v>58</v>
      </c>
      <c r="D59">
        <v>58</v>
      </c>
      <c r="E59">
        <v>3552.3</v>
      </c>
      <c r="F59">
        <v>20.961956024169901</v>
      </c>
      <c r="G59">
        <v>17327.819253989601</v>
      </c>
      <c r="H59">
        <v>15.2392563242914</v>
      </c>
      <c r="I59">
        <v>8.0506379917300599</v>
      </c>
      <c r="J59">
        <v>10.987414075585701</v>
      </c>
      <c r="K59">
        <v>0.54218463589508903</v>
      </c>
      <c r="L59">
        <v>36.9950121531446</v>
      </c>
      <c r="M59">
        <v>45.060271046868699</v>
      </c>
      <c r="N59">
        <v>1850.3462376488501</v>
      </c>
      <c r="O59">
        <v>1420</v>
      </c>
      <c r="P59">
        <v>3007</v>
      </c>
      <c r="R59">
        <v>66600</v>
      </c>
      <c r="S59">
        <v>35523000</v>
      </c>
      <c r="T59">
        <v>300058</v>
      </c>
      <c r="U59">
        <v>100053</v>
      </c>
    </row>
    <row r="60" spans="1:21" x14ac:dyDescent="0.25">
      <c r="A60">
        <v>59</v>
      </c>
      <c r="C60">
        <v>59</v>
      </c>
      <c r="D60">
        <v>59</v>
      </c>
      <c r="E60">
        <v>4280.67</v>
      </c>
      <c r="F60">
        <v>7.2655916213989302</v>
      </c>
      <c r="G60">
        <v>20472.154749442201</v>
      </c>
      <c r="H60">
        <v>60.957025297165501</v>
      </c>
      <c r="I60">
        <v>0.97693673405555603</v>
      </c>
      <c r="J60">
        <v>12.2884401812926</v>
      </c>
      <c r="K60">
        <v>0.58418183952496405</v>
      </c>
      <c r="L60">
        <v>37.0048350432563</v>
      </c>
      <c r="M60">
        <v>45.421808733187397</v>
      </c>
      <c r="N60">
        <v>1326.8945608981801</v>
      </c>
      <c r="O60">
        <v>1267</v>
      </c>
      <c r="P60">
        <v>1484</v>
      </c>
      <c r="R60">
        <v>51600</v>
      </c>
      <c r="S60">
        <v>42806700</v>
      </c>
      <c r="T60">
        <v>300059</v>
      </c>
      <c r="U60">
        <v>100039</v>
      </c>
    </row>
    <row r="61" spans="1:21" x14ac:dyDescent="0.25">
      <c r="A61">
        <v>60</v>
      </c>
      <c r="C61">
        <v>60</v>
      </c>
      <c r="D61">
        <v>60</v>
      </c>
      <c r="E61">
        <v>1605.1499999999801</v>
      </c>
      <c r="F61">
        <v>14.482084274291999</v>
      </c>
      <c r="G61">
        <v>9114.3668760704404</v>
      </c>
      <c r="H61">
        <v>24.3828101188662</v>
      </c>
      <c r="I61">
        <v>2.6551487699641099</v>
      </c>
      <c r="J61">
        <v>6.8218015936718999</v>
      </c>
      <c r="K61">
        <v>0.39459320430793399</v>
      </c>
      <c r="L61">
        <v>36.987510438310899</v>
      </c>
      <c r="M61">
        <v>45.262558995835299</v>
      </c>
      <c r="N61">
        <v>1390.1632183908</v>
      </c>
      <c r="O61">
        <v>1318</v>
      </c>
      <c r="P61">
        <v>1754</v>
      </c>
      <c r="R61">
        <v>28739.999999999902</v>
      </c>
      <c r="S61">
        <v>16051499.999999801</v>
      </c>
      <c r="T61">
        <v>300060</v>
      </c>
      <c r="U61">
        <v>100052</v>
      </c>
    </row>
    <row r="62" spans="1:21" x14ac:dyDescent="0.25">
      <c r="A62">
        <v>61</v>
      </c>
      <c r="C62">
        <v>61</v>
      </c>
      <c r="D62">
        <v>61</v>
      </c>
      <c r="E62">
        <v>1894.94999999997</v>
      </c>
      <c r="F62">
        <v>16.398860931396499</v>
      </c>
      <c r="G62">
        <v>13752.306268472399</v>
      </c>
      <c r="H62">
        <v>18.287107589149599</v>
      </c>
      <c r="I62">
        <v>4.3120040262590198</v>
      </c>
      <c r="J62">
        <v>7.5361296856767099</v>
      </c>
      <c r="K62">
        <v>0.42167946711954701</v>
      </c>
      <c r="L62">
        <v>36.963723872270499</v>
      </c>
      <c r="M62">
        <v>45.278774636844702</v>
      </c>
      <c r="N62">
        <v>1457.28900498694</v>
      </c>
      <c r="O62">
        <v>1288</v>
      </c>
      <c r="P62">
        <v>1913</v>
      </c>
      <c r="R62">
        <v>35879.999999999898</v>
      </c>
      <c r="S62">
        <v>18949499.999999698</v>
      </c>
      <c r="T62">
        <v>300061</v>
      </c>
      <c r="U62">
        <v>100058</v>
      </c>
    </row>
    <row r="63" spans="1:21" x14ac:dyDescent="0.25">
      <c r="A63">
        <v>62</v>
      </c>
      <c r="C63">
        <v>62</v>
      </c>
      <c r="D63">
        <v>62</v>
      </c>
      <c r="E63">
        <v>0.72</v>
      </c>
      <c r="F63">
        <v>4.2311773300170898</v>
      </c>
      <c r="G63">
        <v>89.999999997206004</v>
      </c>
      <c r="H63">
        <v>91.435537945748194</v>
      </c>
      <c r="I63">
        <v>4.4444444445824196</v>
      </c>
      <c r="J63">
        <v>6.6832731000706302E-2</v>
      </c>
      <c r="K63">
        <v>1.8066596739661E-2</v>
      </c>
      <c r="L63">
        <v>36.983864442945297</v>
      </c>
      <c r="M63">
        <v>45.628564001491398</v>
      </c>
      <c r="N63">
        <v>1276.375</v>
      </c>
      <c r="O63">
        <v>1274</v>
      </c>
      <c r="P63">
        <v>1279</v>
      </c>
      <c r="R63">
        <v>420</v>
      </c>
      <c r="S63">
        <v>7200</v>
      </c>
      <c r="T63">
        <v>300062</v>
      </c>
      <c r="U63">
        <v>100066</v>
      </c>
    </row>
    <row r="64" spans="1:21" x14ac:dyDescent="0.25">
      <c r="A64">
        <v>63</v>
      </c>
      <c r="C64">
        <v>63</v>
      </c>
      <c r="D64">
        <v>63</v>
      </c>
      <c r="E64">
        <v>512.54999999999995</v>
      </c>
      <c r="F64">
        <v>6.0894746780395499</v>
      </c>
      <c r="G64">
        <v>6311.2088706710101</v>
      </c>
      <c r="H64">
        <v>60.957025297165501</v>
      </c>
      <c r="I64">
        <v>0.80808607423854295</v>
      </c>
      <c r="J64">
        <v>3.43899427636785</v>
      </c>
      <c r="K64">
        <v>0.24994119818885599</v>
      </c>
      <c r="L64">
        <v>36.992059598645596</v>
      </c>
      <c r="M64">
        <v>45.207606198297199</v>
      </c>
      <c r="N64">
        <v>1371.75961369622</v>
      </c>
      <c r="O64">
        <v>1343</v>
      </c>
      <c r="P64">
        <v>1440</v>
      </c>
      <c r="R64">
        <v>21180</v>
      </c>
      <c r="S64">
        <v>5125500</v>
      </c>
      <c r="T64">
        <v>300063</v>
      </c>
      <c r="U64">
        <v>100067</v>
      </c>
    </row>
    <row r="65" spans="1:21" x14ac:dyDescent="0.25">
      <c r="A65">
        <v>64</v>
      </c>
      <c r="C65">
        <v>64</v>
      </c>
      <c r="D65">
        <v>64</v>
      </c>
      <c r="E65">
        <v>1199.25</v>
      </c>
      <c r="F65">
        <v>9.7268562316894496</v>
      </c>
      <c r="G65">
        <v>8656.7218562049093</v>
      </c>
      <c r="H65">
        <v>60.957025297165501</v>
      </c>
      <c r="I65">
        <v>4.2625835290700804</v>
      </c>
      <c r="J65">
        <v>5.7271102893274701</v>
      </c>
      <c r="K65">
        <v>0.35116178114253999</v>
      </c>
      <c r="L65">
        <v>37.009211540405097</v>
      </c>
      <c r="M65">
        <v>45.240597759864798</v>
      </c>
      <c r="N65">
        <v>1406.0927579737299</v>
      </c>
      <c r="O65">
        <v>1332</v>
      </c>
      <c r="P65">
        <v>1724</v>
      </c>
      <c r="R65">
        <v>27840</v>
      </c>
      <c r="S65">
        <v>11992500</v>
      </c>
      <c r="T65">
        <v>300064</v>
      </c>
      <c r="U65">
        <v>100064</v>
      </c>
    </row>
    <row r="66" spans="1:21" x14ac:dyDescent="0.25">
      <c r="A66">
        <v>65</v>
      </c>
      <c r="C66">
        <v>65</v>
      </c>
      <c r="D66">
        <v>65</v>
      </c>
      <c r="E66">
        <v>2252.88</v>
      </c>
      <c r="F66">
        <v>7.9104380607604998</v>
      </c>
      <c r="G66">
        <v>10919.514062328</v>
      </c>
      <c r="H66">
        <v>60.957025297165501</v>
      </c>
      <c r="I66">
        <v>1.61179333618146</v>
      </c>
      <c r="J66">
        <v>8.3605056757635108</v>
      </c>
      <c r="K66">
        <v>0.45189608218942701</v>
      </c>
      <c r="L66">
        <v>37.001421071675097</v>
      </c>
      <c r="M66">
        <v>45.343977196014301</v>
      </c>
      <c r="N66">
        <v>1345.65875679131</v>
      </c>
      <c r="O66">
        <v>1300</v>
      </c>
      <c r="P66">
        <v>1502</v>
      </c>
      <c r="R66">
        <v>39720</v>
      </c>
      <c r="S66">
        <v>22528800</v>
      </c>
      <c r="T66">
        <v>300065</v>
      </c>
      <c r="U66">
        <v>100069</v>
      </c>
    </row>
    <row r="67" spans="1:21" x14ac:dyDescent="0.25">
      <c r="A67">
        <v>66</v>
      </c>
      <c r="C67">
        <v>66</v>
      </c>
      <c r="D67">
        <v>66</v>
      </c>
      <c r="E67">
        <v>3265.74</v>
      </c>
      <c r="F67">
        <v>48.5098266601563</v>
      </c>
      <c r="G67">
        <v>14729.8798615986</v>
      </c>
      <c r="H67">
        <v>15.2392563242914</v>
      </c>
      <c r="I67">
        <v>8.6219304701251396</v>
      </c>
      <c r="J67">
        <v>10.446689188533201</v>
      </c>
      <c r="K67">
        <v>0.52424704910445896</v>
      </c>
      <c r="L67">
        <v>36.982775602399101</v>
      </c>
      <c r="M67">
        <v>44.919320792347101</v>
      </c>
      <c r="N67">
        <v>2305.7018133715501</v>
      </c>
      <c r="O67">
        <v>1643</v>
      </c>
      <c r="P67">
        <v>2917</v>
      </c>
      <c r="R67">
        <v>33780</v>
      </c>
      <c r="S67">
        <v>32657400</v>
      </c>
      <c r="T67">
        <v>300066</v>
      </c>
      <c r="U67">
        <v>100036</v>
      </c>
    </row>
    <row r="68" spans="1:21" x14ac:dyDescent="0.25">
      <c r="A68">
        <v>67</v>
      </c>
      <c r="C68">
        <v>67</v>
      </c>
      <c r="D68">
        <v>67</v>
      </c>
      <c r="E68">
        <v>481.41</v>
      </c>
      <c r="F68">
        <v>11.2075452804565</v>
      </c>
      <c r="G68">
        <v>5177.2391744845499</v>
      </c>
      <c r="H68">
        <v>60.957025297165501</v>
      </c>
      <c r="I68">
        <v>2.87798177712805</v>
      </c>
      <c r="J68">
        <v>3.3120644156658501</v>
      </c>
      <c r="K68">
        <v>0.243752677689904</v>
      </c>
      <c r="L68">
        <v>36.982912995238202</v>
      </c>
      <c r="M68">
        <v>45.595339805583698</v>
      </c>
      <c r="N68">
        <v>1299.2065806692799</v>
      </c>
      <c r="O68">
        <v>1269</v>
      </c>
      <c r="P68">
        <v>1462</v>
      </c>
      <c r="R68">
        <v>16440</v>
      </c>
      <c r="S68">
        <v>4814100</v>
      </c>
      <c r="T68">
        <v>300067</v>
      </c>
      <c r="U68">
        <v>100063</v>
      </c>
    </row>
    <row r="69" spans="1:21" x14ac:dyDescent="0.25">
      <c r="A69">
        <v>68</v>
      </c>
      <c r="C69">
        <v>68</v>
      </c>
      <c r="D69">
        <v>68</v>
      </c>
      <c r="E69">
        <v>1185.93</v>
      </c>
      <c r="F69">
        <v>9.6997976303100604</v>
      </c>
      <c r="G69">
        <v>12272.270555105</v>
      </c>
      <c r="H69">
        <v>60.957025297165501</v>
      </c>
      <c r="I69">
        <v>3.02307546377939</v>
      </c>
      <c r="J69">
        <v>5.6888586559808401</v>
      </c>
      <c r="K69">
        <v>0.34959641823920501</v>
      </c>
      <c r="L69">
        <v>36.964135579633002</v>
      </c>
      <c r="M69">
        <v>45.310334149048998</v>
      </c>
      <c r="N69">
        <v>1371.13440084997</v>
      </c>
      <c r="O69">
        <v>1303</v>
      </c>
      <c r="P69">
        <v>1714</v>
      </c>
      <c r="R69">
        <v>35280</v>
      </c>
      <c r="S69">
        <v>11859300</v>
      </c>
      <c r="T69">
        <v>300068</v>
      </c>
      <c r="U69">
        <v>100070</v>
      </c>
    </row>
    <row r="70" spans="1:21" x14ac:dyDescent="0.25">
      <c r="A70">
        <v>69</v>
      </c>
      <c r="C70">
        <v>69</v>
      </c>
      <c r="D70">
        <v>69</v>
      </c>
      <c r="E70">
        <v>3424.32</v>
      </c>
      <c r="F70">
        <v>6.1528840065002397</v>
      </c>
      <c r="G70">
        <v>14438.407999029199</v>
      </c>
      <c r="H70">
        <v>60.957025297165501</v>
      </c>
      <c r="I70">
        <v>9.00376274231484E-2</v>
      </c>
      <c r="J70">
        <v>10.7481647738066</v>
      </c>
      <c r="K70">
        <v>0.53428513247161502</v>
      </c>
      <c r="L70">
        <v>36.994837631011798</v>
      </c>
      <c r="M70">
        <v>45.546474694672803</v>
      </c>
      <c r="N70">
        <v>1292.9558452481101</v>
      </c>
      <c r="O70">
        <v>1270</v>
      </c>
      <c r="P70">
        <v>1465</v>
      </c>
      <c r="R70">
        <v>40740</v>
      </c>
      <c r="S70">
        <v>34243200</v>
      </c>
      <c r="T70">
        <v>300069</v>
      </c>
      <c r="U70">
        <v>100071</v>
      </c>
    </row>
    <row r="71" spans="1:21" x14ac:dyDescent="0.25">
      <c r="A71">
        <v>70</v>
      </c>
      <c r="C71">
        <v>70</v>
      </c>
      <c r="D71">
        <v>70</v>
      </c>
      <c r="E71">
        <v>1662.75</v>
      </c>
      <c r="F71">
        <v>20.202091217041001</v>
      </c>
      <c r="G71">
        <v>10099.036790194001</v>
      </c>
      <c r="H71">
        <v>15.2392563242914</v>
      </c>
      <c r="I71">
        <v>5.0796923573752499</v>
      </c>
      <c r="J71">
        <v>6.9676428958707204</v>
      </c>
      <c r="K71">
        <v>0.400197282161594</v>
      </c>
      <c r="L71">
        <v>36.958195020881398</v>
      </c>
      <c r="M71">
        <v>45.227552429038198</v>
      </c>
      <c r="N71">
        <v>1500.01288227334</v>
      </c>
      <c r="O71">
        <v>1330</v>
      </c>
      <c r="P71">
        <v>1917</v>
      </c>
      <c r="R71">
        <v>28920</v>
      </c>
      <c r="S71">
        <v>16627500</v>
      </c>
      <c r="T71">
        <v>300070</v>
      </c>
      <c r="U71">
        <v>100065</v>
      </c>
    </row>
    <row r="72" spans="1:21" x14ac:dyDescent="0.25">
      <c r="A72">
        <v>71</v>
      </c>
      <c r="C72">
        <v>71</v>
      </c>
      <c r="D72">
        <v>71</v>
      </c>
      <c r="E72">
        <v>1345.41</v>
      </c>
      <c r="F72">
        <v>9.4389715194702095</v>
      </c>
      <c r="G72">
        <v>12628.9967440235</v>
      </c>
      <c r="H72">
        <v>60.957025297165501</v>
      </c>
      <c r="I72">
        <v>1.9874896247699301</v>
      </c>
      <c r="J72">
        <v>6.1362423135489799</v>
      </c>
      <c r="K72">
        <v>0.36769287370189702</v>
      </c>
      <c r="L72">
        <v>36.979146223647</v>
      </c>
      <c r="M72">
        <v>45.1540106653433</v>
      </c>
      <c r="N72">
        <v>1455.19024683925</v>
      </c>
      <c r="O72">
        <v>1355</v>
      </c>
      <c r="P72">
        <v>1701</v>
      </c>
      <c r="R72">
        <v>35220</v>
      </c>
      <c r="S72">
        <v>13454100</v>
      </c>
      <c r="T72">
        <v>300071</v>
      </c>
      <c r="U72">
        <v>100062</v>
      </c>
    </row>
    <row r="73" spans="1:21" x14ac:dyDescent="0.25">
      <c r="A73">
        <v>72</v>
      </c>
      <c r="C73">
        <v>72</v>
      </c>
      <c r="D73">
        <v>72</v>
      </c>
      <c r="E73">
        <v>767.52</v>
      </c>
      <c r="F73">
        <v>6.1017074584960902</v>
      </c>
      <c r="G73">
        <v>6401.3917702976496</v>
      </c>
      <c r="H73">
        <v>60.957025297165501</v>
      </c>
      <c r="I73">
        <v>0.328053660103099</v>
      </c>
      <c r="J73">
        <v>4.3817089934172504</v>
      </c>
      <c r="K73">
        <v>0.29375091817683202</v>
      </c>
      <c r="L73">
        <v>36.974690067196804</v>
      </c>
      <c r="M73">
        <v>45.362783411803797</v>
      </c>
      <c r="N73">
        <v>1317.71540806754</v>
      </c>
      <c r="O73">
        <v>1294</v>
      </c>
      <c r="P73">
        <v>1430</v>
      </c>
      <c r="R73">
        <v>22260</v>
      </c>
      <c r="S73">
        <v>7675200</v>
      </c>
      <c r="T73">
        <v>300072</v>
      </c>
      <c r="U73">
        <v>100073</v>
      </c>
    </row>
    <row r="74" spans="1:21" x14ac:dyDescent="0.25">
      <c r="A74">
        <v>73</v>
      </c>
      <c r="C74">
        <v>73</v>
      </c>
      <c r="D74">
        <v>73</v>
      </c>
      <c r="E74">
        <v>150.30000000000001</v>
      </c>
      <c r="F74">
        <v>3.6014442443847701</v>
      </c>
      <c r="G74">
        <v>3155.6958851557101</v>
      </c>
      <c r="H74">
        <v>91.435537945748194</v>
      </c>
      <c r="I74">
        <v>0.41195351114635598</v>
      </c>
      <c r="J74">
        <v>1.6472711739276</v>
      </c>
      <c r="K74">
        <v>0.153012511837397</v>
      </c>
      <c r="L74">
        <v>36.963581679411902</v>
      </c>
      <c r="M74">
        <v>45.383630196824598</v>
      </c>
      <c r="N74">
        <v>1307.7227544910199</v>
      </c>
      <c r="O74">
        <v>1299</v>
      </c>
      <c r="P74">
        <v>1316</v>
      </c>
      <c r="R74">
        <v>10740</v>
      </c>
      <c r="S74">
        <v>1503000</v>
      </c>
      <c r="T74">
        <v>300073</v>
      </c>
      <c r="U74">
        <v>100120</v>
      </c>
    </row>
    <row r="75" spans="1:21" x14ac:dyDescent="0.25">
      <c r="A75">
        <v>74</v>
      </c>
      <c r="C75">
        <v>74</v>
      </c>
      <c r="D75">
        <v>74</v>
      </c>
      <c r="E75">
        <v>3553.74</v>
      </c>
      <c r="F75">
        <v>16.458337783813501</v>
      </c>
      <c r="G75">
        <v>12127.859300117199</v>
      </c>
      <c r="H75">
        <v>18.287107589149599</v>
      </c>
      <c r="I75">
        <v>3.8506383397397101</v>
      </c>
      <c r="J75">
        <v>10.9900862474909</v>
      </c>
      <c r="K75">
        <v>0.54227253961365396</v>
      </c>
      <c r="L75">
        <v>36.964203660635199</v>
      </c>
      <c r="M75">
        <v>45.067100644095703</v>
      </c>
      <c r="N75">
        <v>1642.3553664589999</v>
      </c>
      <c r="O75">
        <v>1420</v>
      </c>
      <c r="P75">
        <v>2044</v>
      </c>
      <c r="R75">
        <v>39180</v>
      </c>
      <c r="S75">
        <v>35537400</v>
      </c>
      <c r="T75">
        <v>300074</v>
      </c>
      <c r="U75">
        <v>100054</v>
      </c>
    </row>
    <row r="76" spans="1:21" x14ac:dyDescent="0.25">
      <c r="A76">
        <v>75</v>
      </c>
      <c r="C76">
        <v>75</v>
      </c>
      <c r="D76">
        <v>75</v>
      </c>
      <c r="E76">
        <v>296.91000000000003</v>
      </c>
      <c r="F76">
        <v>22.126781463623001</v>
      </c>
      <c r="G76">
        <v>2486.1017305476198</v>
      </c>
      <c r="H76">
        <v>15.2392563242914</v>
      </c>
      <c r="I76">
        <v>6.0737659342177697</v>
      </c>
      <c r="J76">
        <v>2.47836122238032</v>
      </c>
      <c r="K76">
        <v>0.200906173605226</v>
      </c>
      <c r="L76">
        <v>36.965224521986102</v>
      </c>
      <c r="M76">
        <v>45.1264267436894</v>
      </c>
      <c r="N76">
        <v>1537.1270081842999</v>
      </c>
      <c r="O76">
        <v>1440</v>
      </c>
      <c r="P76">
        <v>1734</v>
      </c>
      <c r="R76">
        <v>10140</v>
      </c>
      <c r="S76">
        <v>2969100</v>
      </c>
      <c r="T76">
        <v>300075</v>
      </c>
      <c r="U76">
        <v>100118</v>
      </c>
    </row>
    <row r="77" spans="1:21" x14ac:dyDescent="0.25">
      <c r="A77">
        <v>76</v>
      </c>
      <c r="C77">
        <v>76</v>
      </c>
      <c r="D77">
        <v>76</v>
      </c>
      <c r="E77">
        <v>1900.17</v>
      </c>
      <c r="F77">
        <v>9.7229299545288104</v>
      </c>
      <c r="G77">
        <v>10467.382027978299</v>
      </c>
      <c r="H77">
        <v>60.957025297165501</v>
      </c>
      <c r="I77">
        <v>3.03800892286166</v>
      </c>
      <c r="J77">
        <v>7.5485786531891197</v>
      </c>
      <c r="K77">
        <v>0.42214372220308499</v>
      </c>
      <c r="L77">
        <v>36.952455953530098</v>
      </c>
      <c r="M77">
        <v>45.343614797493302</v>
      </c>
      <c r="N77">
        <v>1349.82778382987</v>
      </c>
      <c r="O77">
        <v>1299</v>
      </c>
      <c r="P77">
        <v>1636</v>
      </c>
      <c r="R77">
        <v>32880</v>
      </c>
      <c r="S77">
        <v>19001700</v>
      </c>
      <c r="T77">
        <v>300076</v>
      </c>
      <c r="U77">
        <v>100074</v>
      </c>
    </row>
    <row r="78" spans="1:21" x14ac:dyDescent="0.25">
      <c r="A78">
        <v>77</v>
      </c>
      <c r="C78">
        <v>77</v>
      </c>
      <c r="D78">
        <v>77</v>
      </c>
      <c r="E78">
        <v>1814.85</v>
      </c>
      <c r="F78">
        <v>5.8678245544433603</v>
      </c>
      <c r="G78">
        <v>16525.464273858201</v>
      </c>
      <c r="H78">
        <v>60.957025297165501</v>
      </c>
      <c r="I78">
        <v>0.19364055054490101</v>
      </c>
      <c r="J78">
        <v>7.3433487090259497</v>
      </c>
      <c r="K78">
        <v>0.41445715988662402</v>
      </c>
      <c r="L78">
        <v>36.9680245409441</v>
      </c>
      <c r="M78">
        <v>45.434942650468997</v>
      </c>
      <c r="N78">
        <v>1303.76201338954</v>
      </c>
      <c r="O78">
        <v>1281</v>
      </c>
      <c r="P78">
        <v>1413</v>
      </c>
      <c r="R78">
        <v>51840</v>
      </c>
      <c r="S78">
        <v>18148500</v>
      </c>
      <c r="T78">
        <v>300077</v>
      </c>
      <c r="U78">
        <v>100079</v>
      </c>
    </row>
    <row r="79" spans="1:21" x14ac:dyDescent="0.25">
      <c r="A79">
        <v>78</v>
      </c>
      <c r="C79">
        <v>78</v>
      </c>
      <c r="D79">
        <v>78</v>
      </c>
      <c r="E79">
        <v>13.32</v>
      </c>
      <c r="F79">
        <v>4.7494974136352504</v>
      </c>
      <c r="G79">
        <v>694.26406871608594</v>
      </c>
      <c r="H79">
        <v>91.435537945748194</v>
      </c>
      <c r="I79">
        <v>0.28807482485715202</v>
      </c>
      <c r="J79">
        <v>0.38485066842725801</v>
      </c>
      <c r="K79">
        <v>5.80423572896097E-2</v>
      </c>
      <c r="L79">
        <v>36.948598650349702</v>
      </c>
      <c r="M79">
        <v>45.498683874192501</v>
      </c>
      <c r="N79">
        <v>1289.7567567567601</v>
      </c>
      <c r="O79">
        <v>1286</v>
      </c>
      <c r="P79">
        <v>1296</v>
      </c>
      <c r="R79">
        <v>2520</v>
      </c>
      <c r="S79">
        <v>133200</v>
      </c>
      <c r="T79">
        <v>300078</v>
      </c>
      <c r="U79">
        <v>100081</v>
      </c>
    </row>
    <row r="80" spans="1:21" x14ac:dyDescent="0.25">
      <c r="A80">
        <v>79</v>
      </c>
      <c r="C80">
        <v>79</v>
      </c>
      <c r="D80">
        <v>79</v>
      </c>
      <c r="E80">
        <v>610.38</v>
      </c>
      <c r="F80">
        <v>4.4825925827026403</v>
      </c>
      <c r="G80">
        <v>8617.49350087729</v>
      </c>
      <c r="H80">
        <v>91.435537945748194</v>
      </c>
      <c r="I80">
        <v>0.185668837445263</v>
      </c>
      <c r="J80">
        <v>3.8190020124515098</v>
      </c>
      <c r="K80">
        <v>0.26803003943507298</v>
      </c>
      <c r="L80">
        <v>36.952519741723698</v>
      </c>
      <c r="M80">
        <v>45.462968007940297</v>
      </c>
      <c r="N80">
        <v>1294.2805956944901</v>
      </c>
      <c r="O80">
        <v>1279</v>
      </c>
      <c r="P80">
        <v>1305</v>
      </c>
      <c r="R80">
        <v>27660</v>
      </c>
      <c r="S80">
        <v>6103800</v>
      </c>
      <c r="T80">
        <v>300079</v>
      </c>
      <c r="U80">
        <v>100080</v>
      </c>
    </row>
    <row r="81" spans="1:21" x14ac:dyDescent="0.25">
      <c r="A81">
        <v>80</v>
      </c>
      <c r="C81">
        <v>80</v>
      </c>
      <c r="D81">
        <v>80</v>
      </c>
      <c r="E81">
        <v>1757.97</v>
      </c>
      <c r="F81">
        <v>3.8159558773040798</v>
      </c>
      <c r="G81">
        <v>9734.9556211016607</v>
      </c>
      <c r="H81">
        <v>91.435537945748194</v>
      </c>
      <c r="I81">
        <v>0.28762329372418199</v>
      </c>
      <c r="J81">
        <v>7.2043795701647797</v>
      </c>
      <c r="K81">
        <v>0.40921159987307099</v>
      </c>
      <c r="L81">
        <v>36.953805273035897</v>
      </c>
      <c r="M81">
        <v>45.560754211133599</v>
      </c>
      <c r="N81">
        <v>1286.4506732196801</v>
      </c>
      <c r="O81">
        <v>1247</v>
      </c>
      <c r="P81">
        <v>1311</v>
      </c>
      <c r="R81">
        <v>39300</v>
      </c>
      <c r="S81">
        <v>17579700</v>
      </c>
      <c r="T81">
        <v>300080</v>
      </c>
      <c r="U81">
        <v>100072</v>
      </c>
    </row>
    <row r="82" spans="1:21" x14ac:dyDescent="0.25">
      <c r="A82">
        <v>81</v>
      </c>
      <c r="C82">
        <v>81</v>
      </c>
      <c r="D82">
        <v>81</v>
      </c>
      <c r="E82">
        <v>2878.56</v>
      </c>
      <c r="F82">
        <v>33.104896545410199</v>
      </c>
      <c r="G82">
        <v>14372.011895944899</v>
      </c>
      <c r="H82">
        <v>15.2392563242914</v>
      </c>
      <c r="I82">
        <v>9.4976264275507507</v>
      </c>
      <c r="J82">
        <v>9.68489422851105</v>
      </c>
      <c r="K82">
        <v>0.49844066502956003</v>
      </c>
      <c r="L82">
        <v>36.950012563343002</v>
      </c>
      <c r="M82">
        <v>44.952933154903903</v>
      </c>
      <c r="N82">
        <v>2383.8245060029999</v>
      </c>
      <c r="O82">
        <v>1629</v>
      </c>
      <c r="P82">
        <v>3003</v>
      </c>
      <c r="R82">
        <v>38520</v>
      </c>
      <c r="S82">
        <v>28785600</v>
      </c>
      <c r="T82">
        <v>300081</v>
      </c>
      <c r="U82">
        <v>100075</v>
      </c>
    </row>
    <row r="83" spans="1:21" x14ac:dyDescent="0.25">
      <c r="A83">
        <v>82</v>
      </c>
      <c r="C83">
        <v>82</v>
      </c>
      <c r="D83">
        <v>82</v>
      </c>
      <c r="E83">
        <v>2448.54</v>
      </c>
      <c r="F83">
        <v>5.6546902656555202</v>
      </c>
      <c r="G83">
        <v>12267.747827245399</v>
      </c>
      <c r="H83">
        <v>60.957025297165501</v>
      </c>
      <c r="I83">
        <v>2.7633434007105802</v>
      </c>
      <c r="J83">
        <v>8.7888900654420503</v>
      </c>
      <c r="K83">
        <v>0.46720365705171402</v>
      </c>
      <c r="L83">
        <v>36.944448614539198</v>
      </c>
      <c r="M83">
        <v>45.507683706443103</v>
      </c>
      <c r="N83">
        <v>1303.6794457105</v>
      </c>
      <c r="O83">
        <v>1278</v>
      </c>
      <c r="P83">
        <v>1624</v>
      </c>
      <c r="R83">
        <v>45000</v>
      </c>
      <c r="S83">
        <v>24485400</v>
      </c>
      <c r="T83">
        <v>300082</v>
      </c>
      <c r="U83">
        <v>100083</v>
      </c>
    </row>
    <row r="84" spans="1:21" x14ac:dyDescent="0.25">
      <c r="A84">
        <v>83</v>
      </c>
      <c r="C84">
        <v>83</v>
      </c>
      <c r="D84">
        <v>83</v>
      </c>
      <c r="E84">
        <v>40.590000000000003</v>
      </c>
      <c r="F84">
        <v>3.0387492179870601</v>
      </c>
      <c r="G84">
        <v>1144.2640687118201</v>
      </c>
      <c r="H84">
        <v>91.435537945748194</v>
      </c>
      <c r="I84">
        <v>0.52435448809946905</v>
      </c>
      <c r="J84">
        <v>0.75100208215730502</v>
      </c>
      <c r="K84">
        <v>9.06381375194939E-2</v>
      </c>
      <c r="L84">
        <v>36.941869174990799</v>
      </c>
      <c r="M84">
        <v>45.540080514550702</v>
      </c>
      <c r="N84">
        <v>1286.5853658536601</v>
      </c>
      <c r="O84">
        <v>1283</v>
      </c>
      <c r="P84">
        <v>1293</v>
      </c>
      <c r="R84">
        <v>3780</v>
      </c>
      <c r="S84">
        <v>405900</v>
      </c>
      <c r="T84">
        <v>300083</v>
      </c>
      <c r="U84">
        <v>100084</v>
      </c>
    </row>
    <row r="85" spans="1:21" x14ac:dyDescent="0.25">
      <c r="A85">
        <v>84</v>
      </c>
      <c r="C85">
        <v>84</v>
      </c>
      <c r="D85">
        <v>84</v>
      </c>
      <c r="E85">
        <v>979.83</v>
      </c>
      <c r="F85">
        <v>10.642430305481</v>
      </c>
      <c r="G85">
        <v>13020.945878774901</v>
      </c>
      <c r="H85">
        <v>60.957025297165501</v>
      </c>
      <c r="I85">
        <v>5.1993150597727196</v>
      </c>
      <c r="J85">
        <v>5.0731785754507097</v>
      </c>
      <c r="K85">
        <v>0.32389455359434399</v>
      </c>
      <c r="L85">
        <v>36.9258802970799</v>
      </c>
      <c r="M85">
        <v>45.432891790704097</v>
      </c>
      <c r="N85">
        <v>1374.1235418388901</v>
      </c>
      <c r="O85">
        <v>1285</v>
      </c>
      <c r="P85">
        <v>1983</v>
      </c>
      <c r="R85">
        <v>42480</v>
      </c>
      <c r="S85">
        <v>9798300</v>
      </c>
      <c r="T85">
        <v>300084</v>
      </c>
      <c r="U85">
        <v>100085</v>
      </c>
    </row>
    <row r="86" spans="1:21" x14ac:dyDescent="0.25">
      <c r="A86">
        <v>85</v>
      </c>
      <c r="C86">
        <v>85</v>
      </c>
      <c r="D86">
        <v>85</v>
      </c>
      <c r="E86">
        <v>851.04</v>
      </c>
      <c r="F86">
        <v>15.6774740219116</v>
      </c>
      <c r="G86">
        <v>6521.2088706793002</v>
      </c>
      <c r="H86">
        <v>24.3828101188662</v>
      </c>
      <c r="I86">
        <v>3.8183104534429999</v>
      </c>
      <c r="J86">
        <v>4.66186501264204</v>
      </c>
      <c r="K86">
        <v>0.30614230058779801</v>
      </c>
      <c r="L86">
        <v>36.9463166054475</v>
      </c>
      <c r="M86">
        <v>45.141271081992002</v>
      </c>
      <c r="N86">
        <v>1553.2074873096401</v>
      </c>
      <c r="O86">
        <v>1461</v>
      </c>
      <c r="P86">
        <v>1709</v>
      </c>
      <c r="R86">
        <v>19620</v>
      </c>
      <c r="S86">
        <v>8510400</v>
      </c>
      <c r="T86">
        <v>300085</v>
      </c>
      <c r="U86">
        <v>100078</v>
      </c>
    </row>
    <row r="87" spans="1:21" x14ac:dyDescent="0.25">
      <c r="A87">
        <v>86</v>
      </c>
      <c r="C87">
        <v>86</v>
      </c>
      <c r="D87">
        <v>86</v>
      </c>
      <c r="E87">
        <v>1106.9100000000001</v>
      </c>
      <c r="F87">
        <v>22.6132698059082</v>
      </c>
      <c r="G87">
        <v>7606.5389565593496</v>
      </c>
      <c r="H87">
        <v>15.2392563242914</v>
      </c>
      <c r="I87">
        <v>8.4401066459586591</v>
      </c>
      <c r="J87">
        <v>5.45829616811492</v>
      </c>
      <c r="K87">
        <v>0.34008562614166199</v>
      </c>
      <c r="L87">
        <v>36.913290204778001</v>
      </c>
      <c r="M87">
        <v>45.124352678464298</v>
      </c>
      <c r="N87">
        <v>1656.6367184323899</v>
      </c>
      <c r="O87">
        <v>1471</v>
      </c>
      <c r="P87">
        <v>2121</v>
      </c>
      <c r="R87">
        <v>20580</v>
      </c>
      <c r="S87">
        <v>11069100</v>
      </c>
      <c r="T87">
        <v>300086</v>
      </c>
      <c r="U87">
        <v>100091</v>
      </c>
    </row>
    <row r="88" spans="1:21" x14ac:dyDescent="0.25">
      <c r="A88">
        <v>87</v>
      </c>
      <c r="C88">
        <v>87</v>
      </c>
      <c r="D88">
        <v>87</v>
      </c>
      <c r="E88">
        <v>1525.86</v>
      </c>
      <c r="F88">
        <v>19.220993041992202</v>
      </c>
      <c r="G88">
        <v>9617.9707730029695</v>
      </c>
      <c r="H88">
        <v>18.287107589149599</v>
      </c>
      <c r="I88">
        <v>5.9679948457649896</v>
      </c>
      <c r="J88">
        <v>6.6175696851002703</v>
      </c>
      <c r="K88">
        <v>0.38667778984804602</v>
      </c>
      <c r="L88">
        <v>36.9095753192438</v>
      </c>
      <c r="M88">
        <v>45.520202732217399</v>
      </c>
      <c r="N88">
        <v>1457.08021705792</v>
      </c>
      <c r="O88">
        <v>1280</v>
      </c>
      <c r="P88">
        <v>1866</v>
      </c>
      <c r="R88">
        <v>26580</v>
      </c>
      <c r="S88">
        <v>15258600</v>
      </c>
      <c r="T88">
        <v>300087</v>
      </c>
      <c r="U88">
        <v>100089</v>
      </c>
    </row>
    <row r="89" spans="1:21" x14ac:dyDescent="0.25">
      <c r="A89">
        <v>88</v>
      </c>
      <c r="C89">
        <v>88</v>
      </c>
      <c r="D89">
        <v>88</v>
      </c>
      <c r="E89">
        <v>1431.54</v>
      </c>
      <c r="F89">
        <v>20.974939346313501</v>
      </c>
      <c r="G89">
        <v>12107.270555094499</v>
      </c>
      <c r="H89">
        <v>15.2392563242914</v>
      </c>
      <c r="I89">
        <v>5.7816499335224201</v>
      </c>
      <c r="J89">
        <v>6.3690081237323302</v>
      </c>
      <c r="K89">
        <v>0.37693350885430499</v>
      </c>
      <c r="L89">
        <v>36.913603271288999</v>
      </c>
      <c r="M89">
        <v>45.403254069541298</v>
      </c>
      <c r="N89">
        <v>1501.57129385138</v>
      </c>
      <c r="O89">
        <v>1290</v>
      </c>
      <c r="P89">
        <v>2014</v>
      </c>
      <c r="R89">
        <v>31020</v>
      </c>
      <c r="S89">
        <v>14315400</v>
      </c>
      <c r="T89">
        <v>300088</v>
      </c>
      <c r="U89">
        <v>100088</v>
      </c>
    </row>
    <row r="90" spans="1:21" x14ac:dyDescent="0.25">
      <c r="A90">
        <v>89</v>
      </c>
      <c r="C90">
        <v>89</v>
      </c>
      <c r="D90">
        <v>89</v>
      </c>
      <c r="E90">
        <v>3902.85</v>
      </c>
      <c r="F90">
        <v>12.504504203796399</v>
      </c>
      <c r="G90">
        <v>15404.987001707301</v>
      </c>
      <c r="H90">
        <v>24.3828101188662</v>
      </c>
      <c r="I90">
        <v>2.0837408039644898</v>
      </c>
      <c r="J90">
        <v>11.625692358969401</v>
      </c>
      <c r="K90">
        <v>0.56298405702696597</v>
      </c>
      <c r="L90">
        <v>36.9361063541593</v>
      </c>
      <c r="M90">
        <v>45.602128588685403</v>
      </c>
      <c r="N90">
        <v>1329.01826357662</v>
      </c>
      <c r="O90">
        <v>1268</v>
      </c>
      <c r="P90">
        <v>1707</v>
      </c>
      <c r="R90">
        <v>43620</v>
      </c>
      <c r="S90">
        <v>39028500</v>
      </c>
      <c r="T90">
        <v>300089</v>
      </c>
      <c r="U90">
        <v>100121</v>
      </c>
    </row>
    <row r="91" spans="1:21" x14ac:dyDescent="0.25">
      <c r="A91">
        <v>90</v>
      </c>
      <c r="C91">
        <v>90</v>
      </c>
      <c r="D91">
        <v>90</v>
      </c>
      <c r="E91">
        <v>1062.0899999999999</v>
      </c>
      <c r="F91">
        <v>16.026975631713899</v>
      </c>
      <c r="G91">
        <v>9858.8538905444602</v>
      </c>
      <c r="H91">
        <v>18.287107589149599</v>
      </c>
      <c r="I91">
        <v>7.6783773084012603</v>
      </c>
      <c r="J91">
        <v>5.3245940458327699</v>
      </c>
      <c r="K91">
        <v>0.33450905640289602</v>
      </c>
      <c r="L91">
        <v>36.927171689904597</v>
      </c>
      <c r="M91">
        <v>45.019813765501802</v>
      </c>
      <c r="N91">
        <v>2009.9682230319499</v>
      </c>
      <c r="O91">
        <v>1621</v>
      </c>
      <c r="P91">
        <v>2437</v>
      </c>
      <c r="R91">
        <v>25740</v>
      </c>
      <c r="S91">
        <v>10620900</v>
      </c>
      <c r="T91">
        <v>300090</v>
      </c>
      <c r="U91">
        <v>100093</v>
      </c>
    </row>
    <row r="92" spans="1:21" x14ac:dyDescent="0.25">
      <c r="A92">
        <v>91</v>
      </c>
      <c r="C92">
        <v>91</v>
      </c>
      <c r="D92">
        <v>91</v>
      </c>
      <c r="E92">
        <v>615.96</v>
      </c>
      <c r="F92">
        <v>7.75057077407837</v>
      </c>
      <c r="G92">
        <v>6484.1125496995601</v>
      </c>
      <c r="H92">
        <v>60.957025297165501</v>
      </c>
      <c r="I92">
        <v>2.68348210593695</v>
      </c>
      <c r="J92">
        <v>3.83991151204888</v>
      </c>
      <c r="K92">
        <v>0.26900748018769699</v>
      </c>
      <c r="L92">
        <v>36.923507306576397</v>
      </c>
      <c r="M92">
        <v>45.459516255488303</v>
      </c>
      <c r="N92">
        <v>1316.7333430742301</v>
      </c>
      <c r="O92">
        <v>1279</v>
      </c>
      <c r="P92">
        <v>1469</v>
      </c>
      <c r="R92">
        <v>19380</v>
      </c>
      <c r="S92">
        <v>6159600</v>
      </c>
      <c r="T92">
        <v>300091</v>
      </c>
      <c r="U92">
        <v>100086</v>
      </c>
    </row>
    <row r="93" spans="1:21" x14ac:dyDescent="0.25">
      <c r="A93">
        <v>92</v>
      </c>
      <c r="C93">
        <v>92</v>
      </c>
      <c r="D93">
        <v>92</v>
      </c>
      <c r="E93">
        <v>970.65</v>
      </c>
      <c r="F93">
        <v>22.8225917816162</v>
      </c>
      <c r="G93">
        <v>7757.7878733751904</v>
      </c>
      <c r="H93">
        <v>15.2392563242914</v>
      </c>
      <c r="I93">
        <v>3.0034335019607599</v>
      </c>
      <c r="J93">
        <v>5.0446066217658396</v>
      </c>
      <c r="K93">
        <v>0.32267730113516802</v>
      </c>
      <c r="L93">
        <v>36.940906877466297</v>
      </c>
      <c r="M93">
        <v>45.103534909271403</v>
      </c>
      <c r="N93">
        <v>1615.4822438572101</v>
      </c>
      <c r="O93">
        <v>1462</v>
      </c>
      <c r="P93">
        <v>1795</v>
      </c>
      <c r="R93">
        <v>22620</v>
      </c>
      <c r="S93">
        <v>9706500</v>
      </c>
      <c r="T93">
        <v>300092</v>
      </c>
      <c r="U93">
        <v>100077</v>
      </c>
    </row>
    <row r="94" spans="1:21" x14ac:dyDescent="0.25">
      <c r="A94">
        <v>93</v>
      </c>
      <c r="C94">
        <v>93</v>
      </c>
      <c r="D94">
        <v>93</v>
      </c>
      <c r="E94">
        <v>271.08</v>
      </c>
      <c r="F94">
        <v>18.886074066162099</v>
      </c>
      <c r="G94">
        <v>3952.2034611149802</v>
      </c>
      <c r="H94">
        <v>18.287107589149599</v>
      </c>
      <c r="I94">
        <v>4.98456119322418</v>
      </c>
      <c r="J94">
        <v>2.3466493329356899</v>
      </c>
      <c r="K94">
        <v>0.193723516172435</v>
      </c>
      <c r="L94">
        <v>36.9338450696347</v>
      </c>
      <c r="M94">
        <v>45.070474018378</v>
      </c>
      <c r="N94">
        <v>1669.3170650730401</v>
      </c>
      <c r="O94">
        <v>1551</v>
      </c>
      <c r="P94">
        <v>1749</v>
      </c>
      <c r="R94">
        <v>12060</v>
      </c>
      <c r="S94">
        <v>2710800</v>
      </c>
      <c r="T94">
        <v>300093</v>
      </c>
      <c r="U94">
        <v>100097</v>
      </c>
    </row>
    <row r="95" spans="1:21" x14ac:dyDescent="0.25">
      <c r="A95">
        <v>94</v>
      </c>
      <c r="C95">
        <v>94</v>
      </c>
      <c r="D95">
        <v>94</v>
      </c>
      <c r="E95">
        <v>3788.73</v>
      </c>
      <c r="F95">
        <v>15.766298294067401</v>
      </c>
      <c r="G95">
        <v>16191.2002051452</v>
      </c>
      <c r="H95">
        <v>24.3828101188662</v>
      </c>
      <c r="I95">
        <v>3.6748356666661599</v>
      </c>
      <c r="J95">
        <v>11.4205206758917</v>
      </c>
      <c r="K95">
        <v>0.55634067748000504</v>
      </c>
      <c r="L95">
        <v>36.9467811173283</v>
      </c>
      <c r="M95">
        <v>45.192966061931998</v>
      </c>
      <c r="N95">
        <v>1531.21813905979</v>
      </c>
      <c r="O95">
        <v>1339</v>
      </c>
      <c r="P95">
        <v>2011</v>
      </c>
      <c r="R95">
        <v>49200</v>
      </c>
      <c r="S95">
        <v>37887300</v>
      </c>
      <c r="T95">
        <v>300094</v>
      </c>
      <c r="U95">
        <v>100068</v>
      </c>
    </row>
    <row r="96" spans="1:21" x14ac:dyDescent="0.25">
      <c r="A96">
        <v>95</v>
      </c>
      <c r="C96">
        <v>95</v>
      </c>
      <c r="D96">
        <v>95</v>
      </c>
      <c r="E96">
        <v>3249.9</v>
      </c>
      <c r="F96">
        <v>16.0755290985107</v>
      </c>
      <c r="G96">
        <v>15548.5908986708</v>
      </c>
      <c r="H96">
        <v>18.287107589149599</v>
      </c>
      <c r="I96">
        <v>1.5435482325315899</v>
      </c>
      <c r="J96">
        <v>10.416257535516101</v>
      </c>
      <c r="K96">
        <v>0.52322845142959895</v>
      </c>
      <c r="L96">
        <v>36.932247783388</v>
      </c>
      <c r="M96">
        <v>45.385706309647603</v>
      </c>
      <c r="N96">
        <v>1395.7463029631699</v>
      </c>
      <c r="O96">
        <v>1286</v>
      </c>
      <c r="P96">
        <v>1936</v>
      </c>
      <c r="R96">
        <v>44460</v>
      </c>
      <c r="S96">
        <v>32499000</v>
      </c>
      <c r="T96">
        <v>300095</v>
      </c>
      <c r="U96">
        <v>100087</v>
      </c>
    </row>
    <row r="97" spans="1:21" x14ac:dyDescent="0.25">
      <c r="A97">
        <v>96</v>
      </c>
      <c r="C97">
        <v>96</v>
      </c>
      <c r="D97">
        <v>96</v>
      </c>
      <c r="E97">
        <v>925.02</v>
      </c>
      <c r="F97">
        <v>15.8115177154541</v>
      </c>
      <c r="G97">
        <v>7562.1634149796801</v>
      </c>
      <c r="H97">
        <v>24.3828101188662</v>
      </c>
      <c r="I97">
        <v>4.8134373726830901</v>
      </c>
      <c r="J97">
        <v>4.9009512656466301</v>
      </c>
      <c r="K97">
        <v>0.31652192725799899</v>
      </c>
      <c r="L97">
        <v>36.9298154403821</v>
      </c>
      <c r="M97">
        <v>45.315223750154701</v>
      </c>
      <c r="N97">
        <v>1434.63533761432</v>
      </c>
      <c r="O97">
        <v>1349</v>
      </c>
      <c r="P97">
        <v>1716</v>
      </c>
      <c r="R97">
        <v>19920</v>
      </c>
      <c r="S97">
        <v>9250200</v>
      </c>
      <c r="T97">
        <v>300096</v>
      </c>
      <c r="U97">
        <v>100099</v>
      </c>
    </row>
    <row r="98" spans="1:21" x14ac:dyDescent="0.25">
      <c r="A98">
        <v>97</v>
      </c>
      <c r="C98">
        <v>97</v>
      </c>
      <c r="D98">
        <v>97</v>
      </c>
      <c r="E98">
        <v>3512.07</v>
      </c>
      <c r="F98">
        <v>35.019676208496101</v>
      </c>
      <c r="G98">
        <v>14394.7326753419</v>
      </c>
      <c r="H98">
        <v>15.2392563242914</v>
      </c>
      <c r="I98">
        <v>9.4479003582308501</v>
      </c>
      <c r="J98">
        <v>10.912584215869201</v>
      </c>
      <c r="K98">
        <v>0.53972013168384703</v>
      </c>
      <c r="L98">
        <v>36.9237259362515</v>
      </c>
      <c r="M98">
        <v>44.969935290359999</v>
      </c>
      <c r="N98">
        <v>2405.3063321630798</v>
      </c>
      <c r="O98">
        <v>1630</v>
      </c>
      <c r="P98">
        <v>3086</v>
      </c>
      <c r="R98">
        <v>40620</v>
      </c>
      <c r="S98">
        <v>35120700</v>
      </c>
      <c r="T98">
        <v>300097</v>
      </c>
      <c r="U98">
        <v>100076</v>
      </c>
    </row>
    <row r="99" spans="1:21" x14ac:dyDescent="0.25">
      <c r="A99">
        <v>98</v>
      </c>
      <c r="C99">
        <v>98</v>
      </c>
      <c r="D99">
        <v>98</v>
      </c>
      <c r="E99">
        <v>2329.6499999999801</v>
      </c>
      <c r="F99">
        <v>22.885707855224599</v>
      </c>
      <c r="G99">
        <v>10827.564927621699</v>
      </c>
      <c r="H99">
        <v>15.2392563242914</v>
      </c>
      <c r="I99">
        <v>5.64300472067643</v>
      </c>
      <c r="J99">
        <v>8.5302963176219908</v>
      </c>
      <c r="K99">
        <v>0.45799382630228302</v>
      </c>
      <c r="L99">
        <v>36.916472040592197</v>
      </c>
      <c r="M99">
        <v>45.251195023767998</v>
      </c>
      <c r="N99">
        <v>1647.49669692872</v>
      </c>
      <c r="O99">
        <v>1408</v>
      </c>
      <c r="P99">
        <v>2044</v>
      </c>
      <c r="R99">
        <v>34799.999999999898</v>
      </c>
      <c r="S99">
        <v>23296499.999999799</v>
      </c>
      <c r="T99">
        <v>300098</v>
      </c>
      <c r="U99">
        <v>100101</v>
      </c>
    </row>
    <row r="100" spans="1:21" x14ac:dyDescent="0.25">
      <c r="A100">
        <v>99</v>
      </c>
      <c r="C100">
        <v>99</v>
      </c>
      <c r="D100">
        <v>99</v>
      </c>
      <c r="E100">
        <v>2446.56</v>
      </c>
      <c r="F100">
        <v>14.484859466552701</v>
      </c>
      <c r="G100">
        <v>12114.549775703301</v>
      </c>
      <c r="H100">
        <v>24.3828101188662</v>
      </c>
      <c r="I100">
        <v>4.3996682490749599</v>
      </c>
      <c r="J100">
        <v>8.7846251195229801</v>
      </c>
      <c r="K100">
        <v>0.46705249958609402</v>
      </c>
      <c r="L100">
        <v>36.910900442591803</v>
      </c>
      <c r="M100">
        <v>45.166300912573703</v>
      </c>
      <c r="N100">
        <v>1549.6611241907001</v>
      </c>
      <c r="O100">
        <v>1471</v>
      </c>
      <c r="P100">
        <v>2043</v>
      </c>
      <c r="R100">
        <v>35520</v>
      </c>
      <c r="S100">
        <v>24465600</v>
      </c>
      <c r="T100">
        <v>300099</v>
      </c>
      <c r="U100">
        <v>100092</v>
      </c>
    </row>
    <row r="101" spans="1:21" x14ac:dyDescent="0.25">
      <c r="A101">
        <v>100</v>
      </c>
      <c r="C101">
        <v>100</v>
      </c>
      <c r="D101">
        <v>100</v>
      </c>
      <c r="E101">
        <v>2464.65</v>
      </c>
      <c r="F101">
        <v>21.262325286865199</v>
      </c>
      <c r="G101">
        <v>11541.168824545201</v>
      </c>
      <c r="H101">
        <v>15.2392563242914</v>
      </c>
      <c r="I101">
        <v>5.3460789750150299</v>
      </c>
      <c r="J101">
        <v>8.8235400871851901</v>
      </c>
      <c r="K101">
        <v>0.46843081225446598</v>
      </c>
      <c r="L101">
        <v>36.9059014488898</v>
      </c>
      <c r="M101">
        <v>45.0753955739454</v>
      </c>
      <c r="N101">
        <v>1858.85681942669</v>
      </c>
      <c r="O101">
        <v>1551</v>
      </c>
      <c r="P101">
        <v>2169</v>
      </c>
      <c r="R101">
        <v>27300</v>
      </c>
      <c r="S101">
        <v>24646500</v>
      </c>
      <c r="T101">
        <v>300100</v>
      </c>
      <c r="U101">
        <v>100098</v>
      </c>
    </row>
    <row r="102" spans="1:21" x14ac:dyDescent="0.25">
      <c r="A102">
        <v>101</v>
      </c>
      <c r="C102">
        <v>101</v>
      </c>
      <c r="D102">
        <v>101</v>
      </c>
      <c r="E102">
        <v>1296.0899999999999</v>
      </c>
      <c r="F102">
        <v>29.1274318695068</v>
      </c>
      <c r="G102">
        <v>11510.1028073573</v>
      </c>
      <c r="H102">
        <v>15.2392563242914</v>
      </c>
      <c r="I102">
        <v>7.9408500106164697</v>
      </c>
      <c r="J102">
        <v>6.0002701796027704</v>
      </c>
      <c r="K102">
        <v>0.36224084331880801</v>
      </c>
      <c r="L102">
        <v>36.8837241526413</v>
      </c>
      <c r="M102">
        <v>45.445101781806699</v>
      </c>
      <c r="N102">
        <v>1600.7563363655299</v>
      </c>
      <c r="O102">
        <v>1297</v>
      </c>
      <c r="P102">
        <v>2218</v>
      </c>
      <c r="R102">
        <v>29880</v>
      </c>
      <c r="S102">
        <v>12960900</v>
      </c>
      <c r="T102">
        <v>300101</v>
      </c>
      <c r="U102">
        <v>100096</v>
      </c>
    </row>
    <row r="103" spans="1:21" x14ac:dyDescent="0.25">
      <c r="A103">
        <v>102</v>
      </c>
      <c r="C103">
        <v>102</v>
      </c>
      <c r="D103">
        <v>102</v>
      </c>
      <c r="E103">
        <v>2801.07</v>
      </c>
      <c r="F103">
        <v>26.570846557617202</v>
      </c>
      <c r="G103">
        <v>15750.4285604954</v>
      </c>
      <c r="H103">
        <v>15.2392563242914</v>
      </c>
      <c r="I103">
        <v>5.0919249398174804</v>
      </c>
      <c r="J103">
        <v>9.5276125454810394</v>
      </c>
      <c r="K103">
        <v>0.49302953573904301</v>
      </c>
      <c r="L103">
        <v>36.891379408317</v>
      </c>
      <c r="M103">
        <v>45.479495980783803</v>
      </c>
      <c r="N103">
        <v>1607.52218616457</v>
      </c>
      <c r="O103">
        <v>1282</v>
      </c>
      <c r="P103">
        <v>2282</v>
      </c>
      <c r="R103">
        <v>43980</v>
      </c>
      <c r="S103">
        <v>28010700</v>
      </c>
      <c r="T103">
        <v>300102</v>
      </c>
      <c r="U103">
        <v>100082</v>
      </c>
    </row>
    <row r="104" spans="1:21" x14ac:dyDescent="0.25">
      <c r="A104">
        <v>103</v>
      </c>
      <c r="C104">
        <v>103</v>
      </c>
      <c r="D104">
        <v>103</v>
      </c>
      <c r="E104">
        <v>1918.97999999998</v>
      </c>
      <c r="F104">
        <v>28.519903182983398</v>
      </c>
      <c r="G104">
        <v>12682.417741352499</v>
      </c>
      <c r="H104">
        <v>15.2392563242914</v>
      </c>
      <c r="I104">
        <v>4.62845501521383</v>
      </c>
      <c r="J104">
        <v>7.5933248420545301</v>
      </c>
      <c r="K104">
        <v>0.42381032379608302</v>
      </c>
      <c r="L104">
        <v>36.8911174689921</v>
      </c>
      <c r="M104">
        <v>45.258141314026602</v>
      </c>
      <c r="N104">
        <v>1690.3587374542701</v>
      </c>
      <c r="O104">
        <v>1405</v>
      </c>
      <c r="P104">
        <v>2025</v>
      </c>
      <c r="R104">
        <v>31799.999999999902</v>
      </c>
      <c r="S104">
        <v>19189799.999999799</v>
      </c>
      <c r="T104">
        <v>300103</v>
      </c>
      <c r="U104">
        <v>100102</v>
      </c>
    </row>
    <row r="105" spans="1:21" x14ac:dyDescent="0.25">
      <c r="A105">
        <v>104</v>
      </c>
      <c r="C105">
        <v>104</v>
      </c>
      <c r="D105">
        <v>104</v>
      </c>
      <c r="E105">
        <v>1772.64</v>
      </c>
      <c r="F105">
        <v>26.066221237182599</v>
      </c>
      <c r="G105">
        <v>12191.9404692104</v>
      </c>
      <c r="H105">
        <v>15.2392563242914</v>
      </c>
      <c r="I105">
        <v>6.6273289476808896</v>
      </c>
      <c r="J105">
        <v>7.2403912909182102</v>
      </c>
      <c r="K105">
        <v>0.41057411962372098</v>
      </c>
      <c r="L105">
        <v>36.886421655734999</v>
      </c>
      <c r="M105">
        <v>45.414039821730398</v>
      </c>
      <c r="N105">
        <v>1652.9888302193301</v>
      </c>
      <c r="O105">
        <v>1296</v>
      </c>
      <c r="P105">
        <v>2118</v>
      </c>
      <c r="R105">
        <v>34380</v>
      </c>
      <c r="S105">
        <v>17726400</v>
      </c>
      <c r="T105">
        <v>300104</v>
      </c>
      <c r="U105">
        <v>100095</v>
      </c>
    </row>
    <row r="106" spans="1:21" x14ac:dyDescent="0.25">
      <c r="A106">
        <v>105</v>
      </c>
      <c r="C106">
        <v>105</v>
      </c>
      <c r="D106">
        <v>105</v>
      </c>
      <c r="E106">
        <v>1571.22</v>
      </c>
      <c r="F106">
        <v>14.2506971359253</v>
      </c>
      <c r="G106">
        <v>11901.534623801401</v>
      </c>
      <c r="H106">
        <v>24.3828101188662</v>
      </c>
      <c r="I106">
        <v>4.6296550606010003</v>
      </c>
      <c r="J106">
        <v>6.7349117512296504</v>
      </c>
      <c r="K106">
        <v>0.39123540698494202</v>
      </c>
      <c r="L106">
        <v>36.9068290965984</v>
      </c>
      <c r="M106">
        <v>45.550947919504402</v>
      </c>
      <c r="N106">
        <v>1381.7142857142901</v>
      </c>
      <c r="O106">
        <v>1280</v>
      </c>
      <c r="P106">
        <v>1843</v>
      </c>
      <c r="R106">
        <v>31740</v>
      </c>
      <c r="S106">
        <v>15712200</v>
      </c>
      <c r="T106">
        <v>300105</v>
      </c>
      <c r="U106">
        <v>100090</v>
      </c>
    </row>
    <row r="107" spans="1:21" x14ac:dyDescent="0.25">
      <c r="A107">
        <v>106</v>
      </c>
      <c r="C107">
        <v>106</v>
      </c>
      <c r="D107">
        <v>106</v>
      </c>
      <c r="E107">
        <v>3023.37</v>
      </c>
      <c r="F107">
        <v>34.176338195800803</v>
      </c>
      <c r="G107">
        <v>15249.4740162217</v>
      </c>
      <c r="H107">
        <v>15.2392563242914</v>
      </c>
      <c r="I107">
        <v>10.6429900354171</v>
      </c>
      <c r="J107">
        <v>9.9743473906333104</v>
      </c>
      <c r="K107">
        <v>0.50832313046979904</v>
      </c>
      <c r="L107">
        <v>36.896125547482903</v>
      </c>
      <c r="M107">
        <v>45.004762868107299</v>
      </c>
      <c r="N107">
        <v>2256.41318131754</v>
      </c>
      <c r="O107">
        <v>1620</v>
      </c>
      <c r="P107">
        <v>3243</v>
      </c>
      <c r="R107">
        <v>37500</v>
      </c>
      <c r="S107">
        <v>30233700</v>
      </c>
      <c r="T107">
        <v>300106</v>
      </c>
      <c r="U107">
        <v>100094</v>
      </c>
    </row>
    <row r="108" spans="1:21" x14ac:dyDescent="0.25">
      <c r="A108">
        <v>107</v>
      </c>
      <c r="C108">
        <v>107</v>
      </c>
      <c r="D108">
        <v>107</v>
      </c>
      <c r="E108">
        <v>2592.4499999999998</v>
      </c>
      <c r="F108">
        <v>30.939243316650401</v>
      </c>
      <c r="G108">
        <v>10383.595231408901</v>
      </c>
      <c r="H108">
        <v>15.2392563242914</v>
      </c>
      <c r="I108">
        <v>6.37544111886743</v>
      </c>
      <c r="J108">
        <v>9.0952772827587296</v>
      </c>
      <c r="K108">
        <v>0.47799957217811401</v>
      </c>
      <c r="L108">
        <v>36.896989921124501</v>
      </c>
      <c r="M108">
        <v>45.323324991421501</v>
      </c>
      <c r="N108">
        <v>1615.15931261934</v>
      </c>
      <c r="O108">
        <v>1349</v>
      </c>
      <c r="P108">
        <v>2100</v>
      </c>
      <c r="R108">
        <v>39059.999999999898</v>
      </c>
      <c r="S108">
        <v>25924500</v>
      </c>
      <c r="T108">
        <v>300107</v>
      </c>
      <c r="U108">
        <v>100100</v>
      </c>
    </row>
    <row r="109" spans="1:21" x14ac:dyDescent="0.25">
      <c r="A109">
        <v>108</v>
      </c>
      <c r="C109">
        <v>108</v>
      </c>
      <c r="D109">
        <v>108</v>
      </c>
      <c r="E109">
        <v>1799.37</v>
      </c>
      <c r="F109">
        <v>18.390478134155298</v>
      </c>
      <c r="G109">
        <v>8141.57466992638</v>
      </c>
      <c r="H109">
        <v>18.287107589149599</v>
      </c>
      <c r="I109">
        <v>5.3429467595110003</v>
      </c>
      <c r="J109">
        <v>7.3057027101477496</v>
      </c>
      <c r="K109">
        <v>0.41303945831365102</v>
      </c>
      <c r="L109">
        <v>36.878683888411501</v>
      </c>
      <c r="M109">
        <v>45.601659720922299</v>
      </c>
      <c r="N109">
        <v>1479.15600460161</v>
      </c>
      <c r="O109">
        <v>1337</v>
      </c>
      <c r="P109">
        <v>1803</v>
      </c>
      <c r="R109">
        <v>26460</v>
      </c>
      <c r="S109">
        <v>17993700</v>
      </c>
      <c r="T109">
        <v>300108</v>
      </c>
      <c r="U109">
        <v>100103</v>
      </c>
    </row>
    <row r="110" spans="1:21" x14ac:dyDescent="0.25">
      <c r="A110">
        <v>109</v>
      </c>
      <c r="C110">
        <v>109</v>
      </c>
      <c r="D110">
        <v>109</v>
      </c>
      <c r="E110">
        <v>1015.92</v>
      </c>
      <c r="F110">
        <v>27.278444290161101</v>
      </c>
      <c r="G110">
        <v>8350.5086527645708</v>
      </c>
      <c r="H110">
        <v>15.2392563242914</v>
      </c>
      <c r="I110">
        <v>8.5503773445419906</v>
      </c>
      <c r="J110">
        <v>5.1844825422262399</v>
      </c>
      <c r="K110">
        <v>0.32861482821551302</v>
      </c>
      <c r="L110">
        <v>36.8429531734294</v>
      </c>
      <c r="M110">
        <v>45.619229679383203</v>
      </c>
      <c r="N110">
        <v>1711.1828490432299</v>
      </c>
      <c r="O110">
        <v>1439</v>
      </c>
      <c r="P110">
        <v>2172</v>
      </c>
      <c r="R110">
        <v>20820</v>
      </c>
      <c r="S110">
        <v>10159200</v>
      </c>
      <c r="T110">
        <v>300109</v>
      </c>
      <c r="U110">
        <v>100107</v>
      </c>
    </row>
    <row r="111" spans="1:21" x14ac:dyDescent="0.25">
      <c r="A111">
        <v>110</v>
      </c>
      <c r="C111">
        <v>110</v>
      </c>
      <c r="D111">
        <v>110</v>
      </c>
      <c r="E111">
        <v>825.12</v>
      </c>
      <c r="F111">
        <v>18.193569183349599</v>
      </c>
      <c r="G111">
        <v>7367.6049737281801</v>
      </c>
      <c r="H111">
        <v>18.287107589149599</v>
      </c>
      <c r="I111">
        <v>7.7637170021963602</v>
      </c>
      <c r="J111">
        <v>4.5761471248140104</v>
      </c>
      <c r="K111">
        <v>0.302378005396022</v>
      </c>
      <c r="L111">
        <v>36.8789883703257</v>
      </c>
      <c r="M111">
        <v>45.552934981209397</v>
      </c>
      <c r="N111">
        <v>1480.4310645724299</v>
      </c>
      <c r="O111">
        <v>1335</v>
      </c>
      <c r="P111">
        <v>1908</v>
      </c>
      <c r="R111">
        <v>20100</v>
      </c>
      <c r="S111">
        <v>8251200</v>
      </c>
      <c r="T111">
        <v>300110</v>
      </c>
      <c r="U111">
        <v>100104</v>
      </c>
    </row>
    <row r="112" spans="1:21" x14ac:dyDescent="0.25">
      <c r="A112">
        <v>111</v>
      </c>
      <c r="C112">
        <v>111</v>
      </c>
      <c r="D112">
        <v>111</v>
      </c>
      <c r="E112">
        <v>1714.94999999998</v>
      </c>
      <c r="F112">
        <v>30.174678802490199</v>
      </c>
      <c r="G112">
        <v>8735.3614665029108</v>
      </c>
      <c r="H112">
        <v>15.2392563242914</v>
      </c>
      <c r="I112">
        <v>6.1245319046216897</v>
      </c>
      <c r="J112">
        <v>7.0980750642316899</v>
      </c>
      <c r="K112">
        <v>0.405176209602577</v>
      </c>
      <c r="L112">
        <v>36.8623426186644</v>
      </c>
      <c r="M112">
        <v>45.283292607361503</v>
      </c>
      <c r="N112">
        <v>1745.5183941222799</v>
      </c>
      <c r="O112">
        <v>1414</v>
      </c>
      <c r="P112">
        <v>2040</v>
      </c>
      <c r="R112">
        <v>24719.999999999902</v>
      </c>
      <c r="S112">
        <v>17149499.999999799</v>
      </c>
      <c r="T112">
        <v>300111</v>
      </c>
      <c r="U112">
        <v>100105</v>
      </c>
    </row>
    <row r="113" spans="1:21" x14ac:dyDescent="0.25">
      <c r="A113">
        <v>112</v>
      </c>
      <c r="C113">
        <v>112</v>
      </c>
      <c r="D113">
        <v>112</v>
      </c>
      <c r="E113">
        <v>1462.95</v>
      </c>
      <c r="F113">
        <v>22.890926361083999</v>
      </c>
      <c r="G113">
        <v>9067.4935008509692</v>
      </c>
      <c r="H113">
        <v>15.2392563242914</v>
      </c>
      <c r="I113">
        <v>7.6978274088037004</v>
      </c>
      <c r="J113">
        <v>6.4524908930884299</v>
      </c>
      <c r="K113">
        <v>0.38022016468522601</v>
      </c>
      <c r="L113">
        <v>36.8509170585492</v>
      </c>
      <c r="M113">
        <v>45.646291735311799</v>
      </c>
      <c r="N113">
        <v>1657.0001230390601</v>
      </c>
      <c r="O113">
        <v>1441</v>
      </c>
      <c r="P113">
        <v>2151</v>
      </c>
      <c r="R113">
        <v>25860</v>
      </c>
      <c r="S113">
        <v>14629500</v>
      </c>
      <c r="T113">
        <v>300112</v>
      </c>
      <c r="U113">
        <v>100108</v>
      </c>
    </row>
    <row r="114" spans="1:21" x14ac:dyDescent="0.25">
      <c r="A114">
        <v>113</v>
      </c>
      <c r="C114">
        <v>113</v>
      </c>
      <c r="D114">
        <v>113</v>
      </c>
      <c r="E114">
        <v>757.8</v>
      </c>
      <c r="F114">
        <v>23.118923187255898</v>
      </c>
      <c r="G114">
        <v>4536.9448019592601</v>
      </c>
      <c r="H114">
        <v>15.2392563242914</v>
      </c>
      <c r="I114">
        <v>8.4858867983965691</v>
      </c>
      <c r="J114">
        <v>4.3483297503553002</v>
      </c>
      <c r="K114">
        <v>0.292257182173491</v>
      </c>
      <c r="L114">
        <v>36.858058085785402</v>
      </c>
      <c r="M114">
        <v>45.570722714519697</v>
      </c>
      <c r="N114">
        <v>1487.333847981</v>
      </c>
      <c r="O114">
        <v>1367</v>
      </c>
      <c r="P114">
        <v>1782</v>
      </c>
      <c r="R114">
        <v>15840</v>
      </c>
      <c r="S114">
        <v>7578000</v>
      </c>
      <c r="T114">
        <v>300113</v>
      </c>
      <c r="U114">
        <v>100110</v>
      </c>
    </row>
    <row r="115" spans="1:21" x14ac:dyDescent="0.25">
      <c r="A115">
        <v>114</v>
      </c>
      <c r="C115">
        <v>114</v>
      </c>
      <c r="D115">
        <v>114</v>
      </c>
      <c r="E115">
        <v>1589.04</v>
      </c>
      <c r="F115">
        <v>30.332380294799801</v>
      </c>
      <c r="G115">
        <v>10715.727265777699</v>
      </c>
      <c r="H115">
        <v>15.2392563242914</v>
      </c>
      <c r="I115">
        <v>6.3178166372533697</v>
      </c>
      <c r="J115">
        <v>6.7806387630348102</v>
      </c>
      <c r="K115">
        <v>0.39300428368599699</v>
      </c>
      <c r="L115">
        <v>36.821329694986801</v>
      </c>
      <c r="M115">
        <v>45.599721736193501</v>
      </c>
      <c r="N115">
        <v>1767.72490937925</v>
      </c>
      <c r="O115">
        <v>1401</v>
      </c>
      <c r="P115">
        <v>2162</v>
      </c>
      <c r="R115">
        <v>30540</v>
      </c>
      <c r="S115">
        <v>15890400</v>
      </c>
      <c r="T115">
        <v>300114</v>
      </c>
      <c r="U115">
        <v>100111</v>
      </c>
    </row>
    <row r="116" spans="1:21" x14ac:dyDescent="0.25">
      <c r="A116">
        <v>115</v>
      </c>
      <c r="C116">
        <v>115</v>
      </c>
      <c r="D116">
        <v>115</v>
      </c>
      <c r="E116">
        <v>699.66</v>
      </c>
      <c r="F116">
        <v>23.919675827026399</v>
      </c>
      <c r="G116">
        <v>4794.5183950936498</v>
      </c>
      <c r="H116">
        <v>15.2392563242914</v>
      </c>
      <c r="I116">
        <v>6.4448600367496196</v>
      </c>
      <c r="J116">
        <v>4.1449752123509001</v>
      </c>
      <c r="K116">
        <v>0.28307281947158502</v>
      </c>
      <c r="L116">
        <v>36.834834096268999</v>
      </c>
      <c r="M116">
        <v>45.564706549498403</v>
      </c>
      <c r="N116">
        <v>1545.46809879084</v>
      </c>
      <c r="O116">
        <v>1401</v>
      </c>
      <c r="P116">
        <v>1848</v>
      </c>
      <c r="R116">
        <v>17280</v>
      </c>
      <c r="S116">
        <v>6996600</v>
      </c>
      <c r="T116">
        <v>300115</v>
      </c>
      <c r="U116">
        <v>100112</v>
      </c>
    </row>
    <row r="117" spans="1:21" x14ac:dyDescent="0.25">
      <c r="A117">
        <v>116</v>
      </c>
      <c r="C117">
        <v>116</v>
      </c>
      <c r="D117">
        <v>116</v>
      </c>
      <c r="E117">
        <v>4197.78</v>
      </c>
      <c r="F117">
        <v>26.7075386047363</v>
      </c>
      <c r="G117">
        <v>17462.560594844301</v>
      </c>
      <c r="H117">
        <v>15.2392563242914</v>
      </c>
      <c r="I117">
        <v>3.23549342567099</v>
      </c>
      <c r="J117">
        <v>12.1451117367784</v>
      </c>
      <c r="K117">
        <v>0.57963048941592699</v>
      </c>
      <c r="L117">
        <v>36.855557901951002</v>
      </c>
      <c r="M117">
        <v>45.3690036991703</v>
      </c>
      <c r="N117">
        <v>1693.6148106856499</v>
      </c>
      <c r="O117">
        <v>1410</v>
      </c>
      <c r="P117">
        <v>2114</v>
      </c>
      <c r="R117">
        <v>42240</v>
      </c>
      <c r="S117">
        <v>41977800</v>
      </c>
      <c r="T117">
        <v>300116</v>
      </c>
      <c r="U117">
        <v>100106</v>
      </c>
    </row>
    <row r="118" spans="1:21" x14ac:dyDescent="0.25">
      <c r="A118">
        <v>117</v>
      </c>
      <c r="C118">
        <v>117</v>
      </c>
      <c r="D118">
        <v>117</v>
      </c>
      <c r="E118">
        <v>2135.9699999999998</v>
      </c>
      <c r="F118">
        <v>16.843381881713899</v>
      </c>
      <c r="G118">
        <v>10593.595231416701</v>
      </c>
      <c r="H118">
        <v>18.287107589149599</v>
      </c>
      <c r="I118">
        <v>6.6738438136969904</v>
      </c>
      <c r="J118">
        <v>8.0974224889952993</v>
      </c>
      <c r="K118">
        <v>0.44236566572487801</v>
      </c>
      <c r="L118">
        <v>36.836311882683802</v>
      </c>
      <c r="M118">
        <v>45.436493586924897</v>
      </c>
      <c r="N118">
        <v>1767.84426747567</v>
      </c>
      <c r="O118">
        <v>1567</v>
      </c>
      <c r="P118">
        <v>2276</v>
      </c>
      <c r="R118">
        <v>28080</v>
      </c>
      <c r="S118">
        <v>21359700</v>
      </c>
      <c r="T118">
        <v>300117</v>
      </c>
      <c r="U118">
        <v>100115</v>
      </c>
    </row>
    <row r="119" spans="1:21" x14ac:dyDescent="0.25">
      <c r="A119">
        <v>118</v>
      </c>
      <c r="C119">
        <v>118</v>
      </c>
      <c r="D119">
        <v>118</v>
      </c>
      <c r="E119">
        <v>1248.03</v>
      </c>
      <c r="F119">
        <v>24.273374557495099</v>
      </c>
      <c r="G119">
        <v>7515.4729393889702</v>
      </c>
      <c r="H119">
        <v>15.2392563242914</v>
      </c>
      <c r="I119">
        <v>11.5362001432539</v>
      </c>
      <c r="J119">
        <v>5.8657658837347597</v>
      </c>
      <c r="K119">
        <v>0.35680699698628499</v>
      </c>
      <c r="L119">
        <v>36.810474943401097</v>
      </c>
      <c r="M119">
        <v>45.5326344200652</v>
      </c>
      <c r="N119">
        <v>1730.6112353068399</v>
      </c>
      <c r="O119">
        <v>1432</v>
      </c>
      <c r="P119">
        <v>2316</v>
      </c>
      <c r="R119">
        <v>21780</v>
      </c>
      <c r="S119">
        <v>12480300</v>
      </c>
      <c r="T119">
        <v>300118</v>
      </c>
      <c r="U119">
        <v>100113</v>
      </c>
    </row>
    <row r="120" spans="1:21" x14ac:dyDescent="0.25">
      <c r="A120">
        <v>119</v>
      </c>
      <c r="C120">
        <v>119</v>
      </c>
      <c r="D120">
        <v>119</v>
      </c>
      <c r="E120">
        <v>5360.76</v>
      </c>
      <c r="F120">
        <v>28.1455898284912</v>
      </c>
      <c r="G120">
        <v>18790.0227150998</v>
      </c>
      <c r="H120">
        <v>15.2392563242914</v>
      </c>
      <c r="I120">
        <v>5.1729580891825897</v>
      </c>
      <c r="J120">
        <v>14.0645398833418</v>
      </c>
      <c r="K120">
        <v>0.63919577850164</v>
      </c>
      <c r="L120">
        <v>36.8337028122261</v>
      </c>
      <c r="M120">
        <v>45.504833159394401</v>
      </c>
      <c r="N120">
        <v>1735.5679437244</v>
      </c>
      <c r="O120">
        <v>1370</v>
      </c>
      <c r="P120">
        <v>2343</v>
      </c>
      <c r="R120">
        <v>49140</v>
      </c>
      <c r="S120">
        <v>53607600</v>
      </c>
      <c r="T120">
        <v>300119</v>
      </c>
      <c r="U120">
        <v>100109</v>
      </c>
    </row>
    <row r="121" spans="1:21" x14ac:dyDescent="0.25">
      <c r="A121">
        <v>120</v>
      </c>
      <c r="C121">
        <v>120</v>
      </c>
      <c r="D121">
        <v>120</v>
      </c>
      <c r="E121">
        <v>3936.51</v>
      </c>
      <c r="F121">
        <v>19.573207855224599</v>
      </c>
      <c r="G121">
        <v>17340.4285604908</v>
      </c>
      <c r="H121">
        <v>18.287107589149599</v>
      </c>
      <c r="I121">
        <v>4.1002446826485803</v>
      </c>
      <c r="J121">
        <v>11.685748244411201</v>
      </c>
      <c r="K121">
        <v>0.56492122985425697</v>
      </c>
      <c r="L121">
        <v>36.794082719425298</v>
      </c>
      <c r="M121">
        <v>45.445461101035903</v>
      </c>
      <c r="N121">
        <v>1806.3192802761801</v>
      </c>
      <c r="O121">
        <v>1566</v>
      </c>
      <c r="P121">
        <v>2359</v>
      </c>
      <c r="R121">
        <v>45360</v>
      </c>
      <c r="S121">
        <v>39365100</v>
      </c>
      <c r="T121">
        <v>300120</v>
      </c>
      <c r="U121">
        <v>100116</v>
      </c>
    </row>
    <row r="122" spans="1:21" x14ac:dyDescent="0.25">
      <c r="A122">
        <v>121</v>
      </c>
      <c r="C122">
        <v>121</v>
      </c>
      <c r="D122">
        <v>121</v>
      </c>
      <c r="E122">
        <v>4395.87</v>
      </c>
      <c r="F122">
        <v>28.395084381103501</v>
      </c>
      <c r="G122">
        <v>11321.7575695747</v>
      </c>
      <c r="H122">
        <v>15.2392563242914</v>
      </c>
      <c r="I122">
        <v>7.2691893899200997</v>
      </c>
      <c r="J122">
        <v>12.4858069153647</v>
      </c>
      <c r="K122">
        <v>0.59042031003445705</v>
      </c>
      <c r="L122">
        <v>36.7845487308728</v>
      </c>
      <c r="M122">
        <v>45.561692709978203</v>
      </c>
      <c r="N122">
        <v>1780.7705914870101</v>
      </c>
      <c r="O122">
        <v>1434</v>
      </c>
      <c r="P122">
        <v>2342</v>
      </c>
      <c r="R122">
        <v>37680</v>
      </c>
      <c r="S122">
        <v>43958700</v>
      </c>
      <c r="T122">
        <v>300121</v>
      </c>
      <c r="U122">
        <v>100114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abSelected="1" topLeftCell="F1" workbookViewId="0">
      <selection activeCell="P2" sqref="P2:P69"/>
    </sheetView>
  </sheetViews>
  <sheetFormatPr defaultRowHeight="15" x14ac:dyDescent="0.25"/>
  <cols>
    <col min="6" max="6" width="9.28515625" customWidth="1"/>
  </cols>
  <sheetData>
    <row r="1" spans="1:22" x14ac:dyDescent="0.25">
      <c r="A1" t="s">
        <v>3</v>
      </c>
      <c r="B1" t="s">
        <v>4</v>
      </c>
      <c r="C1" t="s">
        <v>14</v>
      </c>
      <c r="D1" t="s">
        <v>15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Q1" t="s">
        <v>3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</row>
    <row r="2" spans="1:22" x14ac:dyDescent="0.25">
      <c r="A2">
        <v>1</v>
      </c>
      <c r="B2">
        <v>1493.82</v>
      </c>
      <c r="C2">
        <v>1858</v>
      </c>
      <c r="D2">
        <v>3287</v>
      </c>
      <c r="E2">
        <f>+D2-C2</f>
        <v>1429</v>
      </c>
      <c r="F2">
        <f>+(D2-C2)/(5*2)</f>
        <v>142.9</v>
      </c>
      <c r="G2">
        <f>+C2+1*F2</f>
        <v>2000.9</v>
      </c>
      <c r="H2">
        <f>+C2+3*F2</f>
        <v>2286.6999999999998</v>
      </c>
      <c r="I2">
        <f>+C2+5*F2</f>
        <v>2572.5</v>
      </c>
      <c r="J2">
        <f>+C2+7*F2</f>
        <v>2858.3</v>
      </c>
      <c r="K2">
        <f>+C2+9*F2</f>
        <v>3144.1000000000004</v>
      </c>
      <c r="Q2">
        <v>1</v>
      </c>
      <c r="R2">
        <v>2000.9</v>
      </c>
      <c r="S2">
        <v>2286.6999999999998</v>
      </c>
      <c r="T2">
        <v>2572.5</v>
      </c>
      <c r="U2">
        <v>2858.3</v>
      </c>
      <c r="V2">
        <v>3144.1000000000004</v>
      </c>
    </row>
    <row r="3" spans="1:22" x14ac:dyDescent="0.25">
      <c r="A3">
        <v>2</v>
      </c>
      <c r="B3">
        <v>2666.43</v>
      </c>
      <c r="C3">
        <v>1857</v>
      </c>
      <c r="D3">
        <v>2813</v>
      </c>
      <c r="E3">
        <f>+D3-C3</f>
        <v>956</v>
      </c>
      <c r="F3">
        <f>+(D3-C3)/(5*2)</f>
        <v>95.6</v>
      </c>
      <c r="G3">
        <f>+C3+1*F3</f>
        <v>1952.6</v>
      </c>
      <c r="H3">
        <f>+C3+3*F3</f>
        <v>2143.8000000000002</v>
      </c>
      <c r="I3">
        <f>+C3+5*F3</f>
        <v>2335</v>
      </c>
      <c r="J3">
        <f>+C3+7*F3</f>
        <v>2526.1999999999998</v>
      </c>
      <c r="K3">
        <f>+C3+9*F3</f>
        <v>2717.4</v>
      </c>
      <c r="Q3">
        <v>2</v>
      </c>
      <c r="R3">
        <v>1952.6</v>
      </c>
      <c r="S3">
        <v>2143.8000000000002</v>
      </c>
      <c r="T3">
        <v>2335</v>
      </c>
      <c r="U3">
        <v>2526.1999999999998</v>
      </c>
      <c r="V3">
        <v>2717.4</v>
      </c>
    </row>
    <row r="4" spans="1:22" x14ac:dyDescent="0.25">
      <c r="A4">
        <v>3</v>
      </c>
      <c r="B4">
        <v>1056.06</v>
      </c>
      <c r="C4">
        <v>1520</v>
      </c>
      <c r="D4">
        <v>2330</v>
      </c>
      <c r="E4">
        <f>+D4-C4</f>
        <v>810</v>
      </c>
      <c r="F4">
        <f>+(D4-C4)/(5*2)</f>
        <v>81</v>
      </c>
      <c r="G4">
        <f>+C4+1*F4</f>
        <v>1601</v>
      </c>
      <c r="H4">
        <f>+C4+3*F4</f>
        <v>1763</v>
      </c>
      <c r="I4">
        <f>+C4+5*F4</f>
        <v>1925</v>
      </c>
      <c r="J4">
        <f>+C4+7*F4</f>
        <v>2087</v>
      </c>
      <c r="K4">
        <f>+C4+9*F4</f>
        <v>2249</v>
      </c>
      <c r="Q4">
        <v>3</v>
      </c>
      <c r="R4">
        <v>1601</v>
      </c>
      <c r="S4">
        <v>1763</v>
      </c>
      <c r="T4">
        <v>1925</v>
      </c>
      <c r="U4">
        <v>2087</v>
      </c>
      <c r="V4">
        <v>2249</v>
      </c>
    </row>
    <row r="5" spans="1:22" x14ac:dyDescent="0.25">
      <c r="A5">
        <v>4</v>
      </c>
      <c r="B5">
        <v>3660.12</v>
      </c>
      <c r="C5">
        <v>1524</v>
      </c>
      <c r="D5">
        <v>2537</v>
      </c>
      <c r="E5">
        <f>+D5-C5</f>
        <v>1013</v>
      </c>
      <c r="F5">
        <f>+(D5-C5)/(5*2)</f>
        <v>101.3</v>
      </c>
      <c r="G5">
        <f>+C5+1*F5</f>
        <v>1625.3</v>
      </c>
      <c r="H5">
        <f>+C5+3*F5</f>
        <v>1827.9</v>
      </c>
      <c r="I5">
        <f>+C5+5*F5</f>
        <v>2030.5</v>
      </c>
      <c r="J5">
        <f>+C5+7*F5</f>
        <v>2233.1</v>
      </c>
      <c r="K5">
        <f>+C5+9*F5</f>
        <v>2435.6999999999998</v>
      </c>
      <c r="Q5">
        <v>4</v>
      </c>
      <c r="R5">
        <v>1625.3</v>
      </c>
      <c r="S5">
        <v>1827.9</v>
      </c>
      <c r="T5">
        <v>2030.5</v>
      </c>
      <c r="U5">
        <v>2233.1</v>
      </c>
      <c r="V5">
        <v>2435.6999999999998</v>
      </c>
    </row>
    <row r="6" spans="1:22" x14ac:dyDescent="0.25">
      <c r="A6">
        <v>5</v>
      </c>
      <c r="B6">
        <v>1170.81</v>
      </c>
      <c r="C6">
        <v>1842</v>
      </c>
      <c r="D6">
        <v>3183</v>
      </c>
      <c r="E6">
        <f>+D6-C6</f>
        <v>1341</v>
      </c>
      <c r="F6">
        <f>+(D6-C6)/(5*2)</f>
        <v>134.1</v>
      </c>
      <c r="G6">
        <f>+C6+1*F6</f>
        <v>1976.1</v>
      </c>
      <c r="H6">
        <f>+C6+3*F6</f>
        <v>2244.3000000000002</v>
      </c>
      <c r="I6">
        <f>+C6+5*F6</f>
        <v>2512.5</v>
      </c>
      <c r="J6">
        <f>+C6+7*F6</f>
        <v>2780.7</v>
      </c>
      <c r="K6">
        <f>+C6+9*F6</f>
        <v>3048.8999999999996</v>
      </c>
      <c r="Q6">
        <v>5</v>
      </c>
      <c r="R6">
        <v>1976.1</v>
      </c>
      <c r="S6">
        <v>2244.3000000000002</v>
      </c>
      <c r="T6">
        <v>2512.5</v>
      </c>
      <c r="U6">
        <v>2780.7</v>
      </c>
      <c r="V6">
        <v>3048.8999999999996</v>
      </c>
    </row>
    <row r="7" spans="1:22" x14ac:dyDescent="0.25">
      <c r="A7">
        <v>7</v>
      </c>
      <c r="B7">
        <v>491.13</v>
      </c>
      <c r="C7">
        <v>1781</v>
      </c>
      <c r="D7">
        <v>2333</v>
      </c>
      <c r="E7">
        <f>+D7-C7</f>
        <v>552</v>
      </c>
      <c r="F7">
        <f>+(D7-C7)/(5*2)</f>
        <v>55.2</v>
      </c>
      <c r="G7">
        <f>+C7+1*F7</f>
        <v>1836.2</v>
      </c>
      <c r="H7">
        <f>+C7+3*F7</f>
        <v>1946.6</v>
      </c>
      <c r="I7">
        <f>+C7+5*F7</f>
        <v>2057</v>
      </c>
      <c r="J7">
        <f>+C7+7*F7</f>
        <v>2167.4</v>
      </c>
      <c r="K7">
        <f>+C7+9*F7</f>
        <v>2277.8000000000002</v>
      </c>
      <c r="Q7">
        <v>7</v>
      </c>
      <c r="R7">
        <v>1836.2</v>
      </c>
      <c r="S7">
        <v>1946.6</v>
      </c>
      <c r="T7">
        <v>2057</v>
      </c>
      <c r="U7">
        <v>2167.4</v>
      </c>
      <c r="V7">
        <v>2277.8000000000002</v>
      </c>
    </row>
    <row r="8" spans="1:22" x14ac:dyDescent="0.25">
      <c r="A8">
        <v>8</v>
      </c>
      <c r="B8">
        <v>1160.9100000000001</v>
      </c>
      <c r="C8">
        <v>1785</v>
      </c>
      <c r="D8">
        <v>2999</v>
      </c>
      <c r="E8">
        <f>+D8-C8</f>
        <v>1214</v>
      </c>
      <c r="F8">
        <f>+(D8-C8)/(5*2)</f>
        <v>121.4</v>
      </c>
      <c r="G8">
        <f>+C8+1*F8</f>
        <v>1906.4</v>
      </c>
      <c r="H8">
        <f>+C8+3*F8</f>
        <v>2149.1999999999998</v>
      </c>
      <c r="I8">
        <f>+C8+5*F8</f>
        <v>2392</v>
      </c>
      <c r="J8">
        <f>+C8+7*F8</f>
        <v>2634.8</v>
      </c>
      <c r="K8">
        <f>+C8+9*F8</f>
        <v>2877.6000000000004</v>
      </c>
      <c r="Q8">
        <v>8</v>
      </c>
      <c r="R8">
        <v>1906.4</v>
      </c>
      <c r="S8">
        <v>2149.1999999999998</v>
      </c>
      <c r="T8">
        <v>2392</v>
      </c>
      <c r="U8">
        <v>2634.8</v>
      </c>
      <c r="V8">
        <v>2877.6000000000004</v>
      </c>
    </row>
    <row r="9" spans="1:22" x14ac:dyDescent="0.25">
      <c r="A9">
        <v>9</v>
      </c>
      <c r="B9">
        <v>5164.83</v>
      </c>
      <c r="C9">
        <v>1867</v>
      </c>
      <c r="D9">
        <v>3377</v>
      </c>
      <c r="E9">
        <f>+D9-C9</f>
        <v>1510</v>
      </c>
      <c r="F9">
        <f>+(D9-C9)/(5*2)</f>
        <v>151</v>
      </c>
      <c r="G9">
        <f>+C9+1*F9</f>
        <v>2018</v>
      </c>
      <c r="H9">
        <f>+C9+3*F9</f>
        <v>2320</v>
      </c>
      <c r="I9">
        <f>+C9+5*F9</f>
        <v>2622</v>
      </c>
      <c r="J9">
        <f>+C9+7*F9</f>
        <v>2924</v>
      </c>
      <c r="K9">
        <f>+C9+9*F9</f>
        <v>3226</v>
      </c>
      <c r="Q9">
        <v>9</v>
      </c>
      <c r="R9">
        <v>2018</v>
      </c>
      <c r="S9">
        <v>2320</v>
      </c>
      <c r="T9">
        <v>2622</v>
      </c>
      <c r="U9">
        <v>2924</v>
      </c>
      <c r="V9">
        <v>3226</v>
      </c>
    </row>
    <row r="10" spans="1:22" x14ac:dyDescent="0.25">
      <c r="A10">
        <v>10</v>
      </c>
      <c r="B10">
        <v>1477.62</v>
      </c>
      <c r="C10">
        <v>1867</v>
      </c>
      <c r="D10">
        <v>3463</v>
      </c>
      <c r="E10">
        <f>+D10-C10</f>
        <v>1596</v>
      </c>
      <c r="F10">
        <f>+(D10-C10)/(5*2)</f>
        <v>159.6</v>
      </c>
      <c r="G10">
        <f>+C10+1*F10</f>
        <v>2026.6</v>
      </c>
      <c r="H10">
        <f>+C10+3*F10</f>
        <v>2345.8000000000002</v>
      </c>
      <c r="I10">
        <f>+C10+5*F10</f>
        <v>2665</v>
      </c>
      <c r="J10">
        <f>+C10+7*F10</f>
        <v>2984.2</v>
      </c>
      <c r="K10">
        <f>+C10+9*F10</f>
        <v>3303.3999999999996</v>
      </c>
      <c r="Q10">
        <v>10</v>
      </c>
      <c r="R10">
        <v>2026.6</v>
      </c>
      <c r="S10">
        <v>2345.8000000000002</v>
      </c>
      <c r="T10">
        <v>2665</v>
      </c>
      <c r="U10">
        <v>2984.2</v>
      </c>
      <c r="V10">
        <v>3303.3999999999996</v>
      </c>
    </row>
    <row r="11" spans="1:22" x14ac:dyDescent="0.25">
      <c r="A11">
        <v>11</v>
      </c>
      <c r="B11">
        <v>248.58</v>
      </c>
      <c r="C11">
        <v>1845</v>
      </c>
      <c r="D11">
        <v>2413</v>
      </c>
      <c r="E11">
        <f>+D11-C11</f>
        <v>568</v>
      </c>
      <c r="F11">
        <f>+(D11-C11)/(5*2)</f>
        <v>56.8</v>
      </c>
      <c r="G11">
        <f>+C11+1*F11</f>
        <v>1901.8</v>
      </c>
      <c r="H11">
        <f>+C11+3*F11</f>
        <v>2015.4</v>
      </c>
      <c r="I11">
        <f>+C11+5*F11</f>
        <v>2129</v>
      </c>
      <c r="J11">
        <f>+C11+7*F11</f>
        <v>2242.6</v>
      </c>
      <c r="K11">
        <f>+C11+9*F11</f>
        <v>2356.1999999999998</v>
      </c>
      <c r="Q11">
        <v>11</v>
      </c>
      <c r="R11">
        <v>1901.8</v>
      </c>
      <c r="S11">
        <v>2015.4</v>
      </c>
      <c r="T11">
        <v>2129</v>
      </c>
      <c r="U11">
        <v>2242.6</v>
      </c>
      <c r="V11">
        <v>2356.1999999999998</v>
      </c>
    </row>
    <row r="12" spans="1:22" x14ac:dyDescent="0.25">
      <c r="A12">
        <v>12</v>
      </c>
      <c r="B12">
        <v>2523.7800000000002</v>
      </c>
      <c r="C12">
        <v>1841</v>
      </c>
      <c r="D12">
        <v>2828</v>
      </c>
      <c r="E12">
        <f>+D12-C12</f>
        <v>987</v>
      </c>
      <c r="F12">
        <f>+(D12-C12)/(5*2)</f>
        <v>98.7</v>
      </c>
      <c r="G12">
        <f>+C12+1*F12</f>
        <v>1939.7</v>
      </c>
      <c r="H12">
        <f>+C12+3*F12</f>
        <v>2137.1</v>
      </c>
      <c r="I12">
        <f>+C12+5*F12</f>
        <v>2334.5</v>
      </c>
      <c r="J12">
        <f>+C12+7*F12</f>
        <v>2531.9</v>
      </c>
      <c r="K12">
        <f>+C12+9*F12</f>
        <v>2729.3</v>
      </c>
      <c r="Q12">
        <v>12</v>
      </c>
      <c r="R12">
        <v>1939.7</v>
      </c>
      <c r="S12">
        <v>2137.1</v>
      </c>
      <c r="T12">
        <v>2334.5</v>
      </c>
      <c r="U12">
        <v>2531.9</v>
      </c>
      <c r="V12">
        <v>2729.3</v>
      </c>
    </row>
    <row r="13" spans="1:22" x14ac:dyDescent="0.25">
      <c r="A13">
        <v>13</v>
      </c>
      <c r="B13">
        <v>1400.48999999998</v>
      </c>
      <c r="C13">
        <v>1401</v>
      </c>
      <c r="D13">
        <v>2369</v>
      </c>
      <c r="E13">
        <f>+D13-C13</f>
        <v>968</v>
      </c>
      <c r="F13">
        <f>+(D13-C13)/(5*2)</f>
        <v>96.8</v>
      </c>
      <c r="G13">
        <f>+C13+1*F13</f>
        <v>1497.8</v>
      </c>
      <c r="H13">
        <f>+C13+3*F13</f>
        <v>1691.4</v>
      </c>
      <c r="I13">
        <f>+C13+5*F13</f>
        <v>1885</v>
      </c>
      <c r="J13">
        <f>+C13+7*F13</f>
        <v>2078.6</v>
      </c>
      <c r="K13">
        <f>+C13+9*F13</f>
        <v>2272.1999999999998</v>
      </c>
      <c r="Q13">
        <v>13</v>
      </c>
      <c r="R13">
        <v>1497.8</v>
      </c>
      <c r="S13">
        <v>1691.4</v>
      </c>
      <c r="T13">
        <v>1885</v>
      </c>
      <c r="U13">
        <v>2078.6</v>
      </c>
      <c r="V13">
        <v>2272.1999999999998</v>
      </c>
    </row>
    <row r="14" spans="1:22" x14ac:dyDescent="0.25">
      <c r="A14">
        <v>14</v>
      </c>
      <c r="B14">
        <v>3001.9499999999898</v>
      </c>
      <c r="C14">
        <v>1400</v>
      </c>
      <c r="D14">
        <v>2345</v>
      </c>
      <c r="E14">
        <f>+D14-C14</f>
        <v>945</v>
      </c>
      <c r="F14">
        <f>+(D14-C14)/(5*2)</f>
        <v>94.5</v>
      </c>
      <c r="G14">
        <f>+C14+1*F14</f>
        <v>1494.5</v>
      </c>
      <c r="H14">
        <f>+C14+3*F14</f>
        <v>1683.5</v>
      </c>
      <c r="I14">
        <f>+C14+5*F14</f>
        <v>1872.5</v>
      </c>
      <c r="J14">
        <f>+C14+7*F14</f>
        <v>2061.5</v>
      </c>
      <c r="K14">
        <f>+C14+9*F14</f>
        <v>2250.5</v>
      </c>
      <c r="Q14">
        <v>14</v>
      </c>
      <c r="R14">
        <v>1494.5</v>
      </c>
      <c r="S14">
        <v>1683.5</v>
      </c>
      <c r="T14">
        <v>1872.5</v>
      </c>
      <c r="U14">
        <v>2061.5</v>
      </c>
      <c r="V14">
        <v>2250.5</v>
      </c>
    </row>
    <row r="15" spans="1:22" x14ac:dyDescent="0.25">
      <c r="A15">
        <v>15</v>
      </c>
      <c r="B15">
        <v>1519.92</v>
      </c>
      <c r="C15">
        <v>1580</v>
      </c>
      <c r="D15">
        <v>3007</v>
      </c>
      <c r="E15">
        <f>+D15-C15</f>
        <v>1427</v>
      </c>
      <c r="F15">
        <f>+(D15-C15)/(5*2)</f>
        <v>142.69999999999999</v>
      </c>
      <c r="G15">
        <f>+C15+1*F15</f>
        <v>1722.7</v>
      </c>
      <c r="H15">
        <f>+C15+3*F15</f>
        <v>2008.1</v>
      </c>
      <c r="I15">
        <f>+C15+5*F15</f>
        <v>2293.5</v>
      </c>
      <c r="J15">
        <f>+C15+7*F15</f>
        <v>2578.8999999999996</v>
      </c>
      <c r="K15">
        <f>+C15+9*F15</f>
        <v>2864.3</v>
      </c>
      <c r="Q15">
        <v>15</v>
      </c>
      <c r="R15">
        <v>1722.7</v>
      </c>
      <c r="S15">
        <v>2008.1</v>
      </c>
      <c r="T15">
        <v>2293.5</v>
      </c>
      <c r="U15">
        <v>2578.8999999999996</v>
      </c>
      <c r="V15">
        <v>2864.3</v>
      </c>
    </row>
    <row r="16" spans="1:22" x14ac:dyDescent="0.25">
      <c r="A16">
        <v>16</v>
      </c>
      <c r="B16">
        <v>1204.56</v>
      </c>
      <c r="C16">
        <v>1582</v>
      </c>
      <c r="D16">
        <v>2334</v>
      </c>
      <c r="E16">
        <f>+D16-C16</f>
        <v>752</v>
      </c>
      <c r="F16">
        <f>+(D16-C16)/(5*2)</f>
        <v>75.2</v>
      </c>
      <c r="G16">
        <f>+C16+1*F16</f>
        <v>1657.2</v>
      </c>
      <c r="H16">
        <f>+C16+3*F16</f>
        <v>1807.6</v>
      </c>
      <c r="I16">
        <f>+C16+5*F16</f>
        <v>1958</v>
      </c>
      <c r="J16">
        <f>+C16+7*F16</f>
        <v>2108.4</v>
      </c>
      <c r="K16">
        <f>+C16+9*F16</f>
        <v>2258.8000000000002</v>
      </c>
      <c r="Q16">
        <v>16</v>
      </c>
      <c r="R16">
        <v>1657.2</v>
      </c>
      <c r="S16">
        <v>1807.6</v>
      </c>
      <c r="T16">
        <v>1958</v>
      </c>
      <c r="U16">
        <v>2108.4</v>
      </c>
      <c r="V16">
        <v>2258.8000000000002</v>
      </c>
    </row>
    <row r="17" spans="1:22" x14ac:dyDescent="0.25">
      <c r="A17">
        <v>17</v>
      </c>
      <c r="B17">
        <v>2687.31</v>
      </c>
      <c r="C17">
        <v>1315</v>
      </c>
      <c r="D17">
        <v>1955</v>
      </c>
      <c r="E17">
        <f>+D17-C17</f>
        <v>640</v>
      </c>
      <c r="F17">
        <f>+(D17-C17)/(5*2)</f>
        <v>64</v>
      </c>
      <c r="G17">
        <f>+C17+1*F17</f>
        <v>1379</v>
      </c>
      <c r="H17">
        <f>+C17+3*F17</f>
        <v>1507</v>
      </c>
      <c r="I17">
        <f>+C17+5*F17</f>
        <v>1635</v>
      </c>
      <c r="J17">
        <f>+C17+7*F17</f>
        <v>1763</v>
      </c>
      <c r="K17">
        <f>+C17+9*F17</f>
        <v>1891</v>
      </c>
      <c r="Q17">
        <v>17</v>
      </c>
      <c r="R17">
        <v>1379</v>
      </c>
      <c r="S17">
        <v>1507</v>
      </c>
      <c r="T17">
        <v>1635</v>
      </c>
      <c r="U17">
        <v>1763</v>
      </c>
      <c r="V17">
        <v>1891</v>
      </c>
    </row>
    <row r="18" spans="1:22" x14ac:dyDescent="0.25">
      <c r="A18">
        <v>18</v>
      </c>
      <c r="B18">
        <v>2797.2</v>
      </c>
      <c r="C18">
        <v>1315</v>
      </c>
      <c r="D18">
        <v>2089</v>
      </c>
      <c r="E18">
        <f>+D18-C18</f>
        <v>774</v>
      </c>
      <c r="F18">
        <f>+(D18-C18)/(5*2)</f>
        <v>77.400000000000006</v>
      </c>
      <c r="G18">
        <f>+C18+1*F18</f>
        <v>1392.4</v>
      </c>
      <c r="H18">
        <f>+C18+3*F18</f>
        <v>1547.2</v>
      </c>
      <c r="I18">
        <f>+C18+5*F18</f>
        <v>1702</v>
      </c>
      <c r="J18">
        <f>+C18+7*F18</f>
        <v>1856.8000000000002</v>
      </c>
      <c r="K18">
        <f>+C18+9*F18</f>
        <v>2011.6</v>
      </c>
      <c r="Q18">
        <v>18</v>
      </c>
      <c r="R18">
        <v>1392.4</v>
      </c>
      <c r="S18">
        <v>1547.2</v>
      </c>
      <c r="T18">
        <v>1702</v>
      </c>
      <c r="U18">
        <v>1856.8000000000002</v>
      </c>
      <c r="V18">
        <v>2011.6</v>
      </c>
    </row>
    <row r="19" spans="1:22" x14ac:dyDescent="0.25">
      <c r="A19">
        <v>20</v>
      </c>
      <c r="B19">
        <v>1284.57</v>
      </c>
      <c r="C19">
        <v>1398</v>
      </c>
      <c r="D19">
        <v>2318</v>
      </c>
      <c r="E19">
        <f>+D19-C19</f>
        <v>920</v>
      </c>
      <c r="F19">
        <f>+(D19-C19)/(5*2)</f>
        <v>92</v>
      </c>
      <c r="G19">
        <f>+C19+1*F19</f>
        <v>1490</v>
      </c>
      <c r="H19">
        <f>+C19+3*F19</f>
        <v>1674</v>
      </c>
      <c r="I19">
        <f>+C19+5*F19</f>
        <v>1858</v>
      </c>
      <c r="J19">
        <f>+C19+7*F19</f>
        <v>2042</v>
      </c>
      <c r="K19">
        <f>+C19+9*F19</f>
        <v>2226</v>
      </c>
      <c r="Q19">
        <v>20</v>
      </c>
      <c r="R19">
        <v>1490</v>
      </c>
      <c r="S19">
        <v>1674</v>
      </c>
      <c r="T19">
        <v>1858</v>
      </c>
      <c r="U19">
        <v>2042</v>
      </c>
      <c r="V19">
        <v>2226</v>
      </c>
    </row>
    <row r="20" spans="1:22" x14ac:dyDescent="0.25">
      <c r="A20">
        <v>21</v>
      </c>
      <c r="B20">
        <v>1657.8</v>
      </c>
      <c r="C20">
        <v>1401</v>
      </c>
      <c r="D20">
        <v>1995</v>
      </c>
      <c r="E20">
        <f>+D20-C20</f>
        <v>594</v>
      </c>
      <c r="F20">
        <f>+(D20-C20)/(5*2)</f>
        <v>59.4</v>
      </c>
      <c r="G20">
        <f>+C20+1*F20</f>
        <v>1460.4</v>
      </c>
      <c r="H20">
        <f>+C20+3*F20</f>
        <v>1579.2</v>
      </c>
      <c r="I20">
        <f>+C20+5*F20</f>
        <v>1698</v>
      </c>
      <c r="J20">
        <f>+C20+7*F20</f>
        <v>1816.8</v>
      </c>
      <c r="K20">
        <f>+C20+9*F20</f>
        <v>1935.6</v>
      </c>
      <c r="Q20">
        <v>21</v>
      </c>
      <c r="R20">
        <v>1460.4</v>
      </c>
      <c r="S20">
        <v>1579.2</v>
      </c>
      <c r="T20">
        <v>1698</v>
      </c>
      <c r="U20">
        <v>1816.8</v>
      </c>
      <c r="V20">
        <v>1935.6</v>
      </c>
    </row>
    <row r="21" spans="1:22" x14ac:dyDescent="0.25">
      <c r="A21">
        <v>22</v>
      </c>
      <c r="B21">
        <v>2290.9499999999998</v>
      </c>
      <c r="C21">
        <v>1728</v>
      </c>
      <c r="D21">
        <v>3285</v>
      </c>
      <c r="E21">
        <f>+D21-C21</f>
        <v>1557</v>
      </c>
      <c r="F21">
        <f>+(D21-C21)/(5*2)</f>
        <v>155.69999999999999</v>
      </c>
      <c r="G21">
        <f>+C21+1*F21</f>
        <v>1883.7</v>
      </c>
      <c r="H21">
        <f>+C21+3*F21</f>
        <v>2195.1</v>
      </c>
      <c r="I21">
        <f>+C21+5*F21</f>
        <v>2506.5</v>
      </c>
      <c r="J21">
        <f>+C21+7*F21</f>
        <v>2817.8999999999996</v>
      </c>
      <c r="K21">
        <f>+C21+9*F21</f>
        <v>3129.3</v>
      </c>
      <c r="Q21">
        <v>22</v>
      </c>
      <c r="R21">
        <v>1883.7</v>
      </c>
      <c r="S21">
        <v>2195.1</v>
      </c>
      <c r="T21">
        <v>2506.5</v>
      </c>
      <c r="U21">
        <v>2817.8999999999996</v>
      </c>
      <c r="V21">
        <v>3129.3</v>
      </c>
    </row>
    <row r="22" spans="1:22" x14ac:dyDescent="0.25">
      <c r="A22">
        <v>23</v>
      </c>
      <c r="B22">
        <v>282.06</v>
      </c>
      <c r="C22">
        <v>1711</v>
      </c>
      <c r="D22">
        <v>2514</v>
      </c>
      <c r="E22">
        <f>+D22-C22</f>
        <v>803</v>
      </c>
      <c r="F22">
        <f>+(D22-C22)/(5*2)</f>
        <v>80.3</v>
      </c>
      <c r="G22">
        <f>+C22+1*F22</f>
        <v>1791.3</v>
      </c>
      <c r="H22">
        <f>+C22+3*F22</f>
        <v>1951.9</v>
      </c>
      <c r="I22">
        <f>+C22+5*F22</f>
        <v>2112.5</v>
      </c>
      <c r="J22">
        <f>+C22+7*F22</f>
        <v>2273.1</v>
      </c>
      <c r="K22">
        <f>+C22+9*F22</f>
        <v>2433.6999999999998</v>
      </c>
      <c r="Q22">
        <v>23</v>
      </c>
      <c r="R22">
        <v>1791.3</v>
      </c>
      <c r="S22">
        <v>1951.9</v>
      </c>
      <c r="T22">
        <v>2112.5</v>
      </c>
      <c r="U22">
        <v>2273.1</v>
      </c>
      <c r="V22">
        <v>2433.6999999999998</v>
      </c>
    </row>
    <row r="23" spans="1:22" x14ac:dyDescent="0.25">
      <c r="A23">
        <v>24</v>
      </c>
      <c r="B23">
        <v>1621.98</v>
      </c>
      <c r="C23">
        <v>1716</v>
      </c>
      <c r="D23">
        <v>3181</v>
      </c>
      <c r="E23">
        <f>+D23-C23</f>
        <v>1465</v>
      </c>
      <c r="F23">
        <f>+(D23-C23)/(5*2)</f>
        <v>146.5</v>
      </c>
      <c r="G23">
        <f>+C23+1*F23</f>
        <v>1862.5</v>
      </c>
      <c r="H23">
        <f>+C23+3*F23</f>
        <v>2155.5</v>
      </c>
      <c r="I23">
        <f>+C23+5*F23</f>
        <v>2448.5</v>
      </c>
      <c r="J23">
        <f>+C23+7*F23</f>
        <v>2741.5</v>
      </c>
      <c r="K23">
        <f>+C23+9*F23</f>
        <v>3034.5</v>
      </c>
      <c r="Q23">
        <v>24</v>
      </c>
      <c r="R23">
        <v>1862.5</v>
      </c>
      <c r="S23">
        <v>2155.5</v>
      </c>
      <c r="T23">
        <v>2448.5</v>
      </c>
      <c r="U23">
        <v>2741.5</v>
      </c>
      <c r="V23">
        <v>3034.5</v>
      </c>
    </row>
    <row r="24" spans="1:22" x14ac:dyDescent="0.25">
      <c r="A24">
        <v>25</v>
      </c>
      <c r="B24">
        <v>2206.35</v>
      </c>
      <c r="C24">
        <v>1728</v>
      </c>
      <c r="D24">
        <v>2618</v>
      </c>
      <c r="E24">
        <f>+D24-C24</f>
        <v>890</v>
      </c>
      <c r="F24">
        <f>+(D24-C24)/(5*2)</f>
        <v>89</v>
      </c>
      <c r="G24">
        <f>+C24+1*F24</f>
        <v>1817</v>
      </c>
      <c r="H24">
        <f>+C24+3*F24</f>
        <v>1995</v>
      </c>
      <c r="I24">
        <f>+C24+5*F24</f>
        <v>2173</v>
      </c>
      <c r="J24">
        <f>+C24+7*F24</f>
        <v>2351</v>
      </c>
      <c r="K24">
        <f>+C24+9*F24</f>
        <v>2529</v>
      </c>
      <c r="Q24">
        <v>25</v>
      </c>
      <c r="R24">
        <v>1817</v>
      </c>
      <c r="S24">
        <v>1995</v>
      </c>
      <c r="T24">
        <v>2173</v>
      </c>
      <c r="U24">
        <v>2351</v>
      </c>
      <c r="V24">
        <v>2529</v>
      </c>
    </row>
    <row r="25" spans="1:22" x14ac:dyDescent="0.25">
      <c r="A25">
        <v>26</v>
      </c>
      <c r="B25">
        <v>1098.0899999999999</v>
      </c>
      <c r="C25">
        <v>1391</v>
      </c>
      <c r="D25">
        <v>2094</v>
      </c>
      <c r="E25">
        <f>+D25-C25</f>
        <v>703</v>
      </c>
      <c r="F25">
        <f>+(D25-C25)/(5*2)</f>
        <v>70.3</v>
      </c>
      <c r="G25">
        <f>+C25+1*F25</f>
        <v>1461.3</v>
      </c>
      <c r="H25">
        <f>+C25+3*F25</f>
        <v>1601.9</v>
      </c>
      <c r="I25">
        <f>+C25+5*F25</f>
        <v>1742.5</v>
      </c>
      <c r="J25">
        <f>+C25+7*F25</f>
        <v>1883.1</v>
      </c>
      <c r="K25">
        <f>+C25+9*F25</f>
        <v>2023.6999999999998</v>
      </c>
      <c r="Q25">
        <v>26</v>
      </c>
      <c r="R25">
        <v>1461.3</v>
      </c>
      <c r="S25">
        <v>1601.9</v>
      </c>
      <c r="T25">
        <v>1742.5</v>
      </c>
      <c r="U25">
        <v>1883.1</v>
      </c>
      <c r="V25">
        <v>2023.6999999999998</v>
      </c>
    </row>
    <row r="26" spans="1:22" x14ac:dyDescent="0.25">
      <c r="A26">
        <v>27</v>
      </c>
      <c r="B26">
        <v>3053.07</v>
      </c>
      <c r="C26">
        <v>1392</v>
      </c>
      <c r="D26">
        <v>2218</v>
      </c>
      <c r="E26">
        <f>+D26-C26</f>
        <v>826</v>
      </c>
      <c r="F26">
        <f>+(D26-C26)/(5*2)</f>
        <v>82.6</v>
      </c>
      <c r="G26">
        <f>+C26+1*F26</f>
        <v>1474.6</v>
      </c>
      <c r="H26">
        <f>+C26+3*F26</f>
        <v>1639.8</v>
      </c>
      <c r="I26">
        <f>+C26+5*F26</f>
        <v>1805</v>
      </c>
      <c r="J26">
        <f>+C26+7*F26</f>
        <v>1970.1999999999998</v>
      </c>
      <c r="K26">
        <f>+C26+9*F26</f>
        <v>2135.4</v>
      </c>
      <c r="Q26">
        <v>27</v>
      </c>
      <c r="R26">
        <v>1474.6</v>
      </c>
      <c r="S26">
        <v>1639.8</v>
      </c>
      <c r="T26">
        <v>1805</v>
      </c>
      <c r="U26">
        <v>1970.1999999999998</v>
      </c>
      <c r="V26">
        <v>2135.4</v>
      </c>
    </row>
    <row r="27" spans="1:22" x14ac:dyDescent="0.25">
      <c r="A27">
        <v>33</v>
      </c>
      <c r="B27">
        <v>2303.5500000000002</v>
      </c>
      <c r="C27">
        <v>1370</v>
      </c>
      <c r="D27">
        <v>2296</v>
      </c>
      <c r="E27">
        <f>+D27-C27</f>
        <v>926</v>
      </c>
      <c r="F27">
        <f>+(D27-C27)/(5*2)</f>
        <v>92.6</v>
      </c>
      <c r="G27">
        <f>+C27+1*F27</f>
        <v>1462.6</v>
      </c>
      <c r="H27">
        <f>+C27+3*F27</f>
        <v>1647.8</v>
      </c>
      <c r="I27">
        <f>+C27+5*F27</f>
        <v>1833</v>
      </c>
      <c r="J27">
        <f>+C27+7*F27</f>
        <v>2018.1999999999998</v>
      </c>
      <c r="K27">
        <f>+C27+9*F27</f>
        <v>2203.4</v>
      </c>
      <c r="Q27">
        <v>33</v>
      </c>
      <c r="R27">
        <v>1462.6</v>
      </c>
      <c r="S27">
        <v>1647.8</v>
      </c>
      <c r="T27">
        <v>1833</v>
      </c>
      <c r="U27">
        <v>2018.1999999999998</v>
      </c>
      <c r="V27">
        <v>2203.4</v>
      </c>
    </row>
    <row r="28" spans="1:22" x14ac:dyDescent="0.25">
      <c r="A28">
        <v>34</v>
      </c>
      <c r="B28">
        <v>477.9</v>
      </c>
      <c r="C28">
        <v>1643</v>
      </c>
      <c r="D28">
        <v>2582</v>
      </c>
      <c r="E28">
        <f>+D28-C28</f>
        <v>939</v>
      </c>
      <c r="F28">
        <f>+(D28-C28)/(5*2)</f>
        <v>93.9</v>
      </c>
      <c r="G28">
        <f>+C28+1*F28</f>
        <v>1736.9</v>
      </c>
      <c r="H28">
        <f>+C28+3*F28</f>
        <v>1924.7</v>
      </c>
      <c r="I28">
        <f>+C28+5*F28</f>
        <v>2112.5</v>
      </c>
      <c r="J28">
        <f>+C28+7*F28</f>
        <v>2300.3000000000002</v>
      </c>
      <c r="K28">
        <f>+C28+9*F28</f>
        <v>2488.1</v>
      </c>
      <c r="Q28">
        <v>34</v>
      </c>
      <c r="R28">
        <v>1736.9</v>
      </c>
      <c r="S28">
        <v>1924.7</v>
      </c>
      <c r="T28">
        <v>2112.5</v>
      </c>
      <c r="U28">
        <v>2300.3000000000002</v>
      </c>
      <c r="V28">
        <v>2488.1</v>
      </c>
    </row>
    <row r="29" spans="1:22" x14ac:dyDescent="0.25">
      <c r="A29">
        <v>40</v>
      </c>
      <c r="B29">
        <v>1696.77</v>
      </c>
      <c r="C29">
        <v>1407</v>
      </c>
      <c r="D29">
        <v>2728</v>
      </c>
      <c r="E29">
        <f>+D29-C29</f>
        <v>1321</v>
      </c>
      <c r="F29">
        <f>+(D29-C29)/(5*2)</f>
        <v>132.1</v>
      </c>
      <c r="G29">
        <f>+C29+1*F29</f>
        <v>1539.1</v>
      </c>
      <c r="H29">
        <f>+C29+3*F29</f>
        <v>1803.3</v>
      </c>
      <c r="I29">
        <f>+C29+5*F29</f>
        <v>2067.5</v>
      </c>
      <c r="J29">
        <f>+C29+7*F29</f>
        <v>2331.6999999999998</v>
      </c>
      <c r="K29">
        <f>+C29+9*F29</f>
        <v>2595.8999999999996</v>
      </c>
      <c r="Q29">
        <v>40</v>
      </c>
      <c r="R29">
        <v>1539.1</v>
      </c>
      <c r="S29">
        <v>1803.3</v>
      </c>
      <c r="T29">
        <v>2067.5</v>
      </c>
      <c r="U29">
        <v>2331.6999999999998</v>
      </c>
      <c r="V29">
        <v>2595.8999999999996</v>
      </c>
    </row>
    <row r="30" spans="1:22" x14ac:dyDescent="0.25">
      <c r="A30">
        <v>41</v>
      </c>
      <c r="B30">
        <v>1025.46</v>
      </c>
      <c r="C30">
        <v>1407</v>
      </c>
      <c r="D30">
        <v>2789</v>
      </c>
      <c r="E30">
        <f>+D30-C30</f>
        <v>1382</v>
      </c>
      <c r="F30">
        <f>+(D30-C30)/(5*2)</f>
        <v>138.19999999999999</v>
      </c>
      <c r="G30">
        <f>+C30+1*F30</f>
        <v>1545.2</v>
      </c>
      <c r="H30">
        <f>+C30+3*F30</f>
        <v>1821.6</v>
      </c>
      <c r="I30">
        <f>+C30+5*F30</f>
        <v>2098</v>
      </c>
      <c r="J30">
        <f>+C30+7*F30</f>
        <v>2374.3999999999996</v>
      </c>
      <c r="K30">
        <f>+C30+9*F30</f>
        <v>2650.8</v>
      </c>
      <c r="Q30">
        <v>41</v>
      </c>
      <c r="R30">
        <v>1545.2</v>
      </c>
      <c r="S30">
        <v>1821.6</v>
      </c>
      <c r="T30">
        <v>2098</v>
      </c>
      <c r="U30">
        <v>2374.3999999999996</v>
      </c>
      <c r="V30">
        <v>2650.8</v>
      </c>
    </row>
    <row r="31" spans="1:22" x14ac:dyDescent="0.25">
      <c r="A31">
        <v>43</v>
      </c>
      <c r="B31">
        <v>1227.5999999999999</v>
      </c>
      <c r="C31">
        <v>1364</v>
      </c>
      <c r="D31">
        <v>2227</v>
      </c>
      <c r="E31">
        <f>+D31-C31</f>
        <v>863</v>
      </c>
      <c r="F31">
        <f>+(D31-C31)/(5*2)</f>
        <v>86.3</v>
      </c>
      <c r="G31">
        <f>+C31+1*F31</f>
        <v>1450.3</v>
      </c>
      <c r="H31">
        <f>+C31+3*F31</f>
        <v>1622.9</v>
      </c>
      <c r="I31">
        <f>+C31+5*F31</f>
        <v>1795.5</v>
      </c>
      <c r="J31">
        <f>+C31+7*F31</f>
        <v>1968.1</v>
      </c>
      <c r="K31">
        <f>+C31+9*F31</f>
        <v>2140.6999999999998</v>
      </c>
      <c r="Q31">
        <v>43</v>
      </c>
      <c r="R31">
        <v>1450.3</v>
      </c>
      <c r="S31">
        <v>1622.9</v>
      </c>
      <c r="T31">
        <v>1795.5</v>
      </c>
      <c r="U31">
        <v>1968.1</v>
      </c>
      <c r="V31">
        <v>2140.6999999999998</v>
      </c>
    </row>
    <row r="32" spans="1:22" x14ac:dyDescent="0.25">
      <c r="A32">
        <v>49</v>
      </c>
      <c r="B32">
        <v>3602.3399999999601</v>
      </c>
      <c r="C32">
        <v>1317</v>
      </c>
      <c r="D32">
        <v>2296</v>
      </c>
      <c r="E32">
        <f>+D32-C32</f>
        <v>979</v>
      </c>
      <c r="F32">
        <f>+(D32-C32)/(5*2)</f>
        <v>97.9</v>
      </c>
      <c r="G32">
        <f>+C32+1*F32</f>
        <v>1414.9</v>
      </c>
      <c r="H32">
        <f>+C32+3*F32</f>
        <v>1610.7</v>
      </c>
      <c r="I32">
        <f>+C32+5*F32</f>
        <v>1806.5</v>
      </c>
      <c r="J32">
        <f>+C32+7*F32</f>
        <v>2002.3000000000002</v>
      </c>
      <c r="K32">
        <f>+C32+9*F32</f>
        <v>2198.1</v>
      </c>
      <c r="Q32">
        <v>49</v>
      </c>
      <c r="R32">
        <v>1414.9</v>
      </c>
      <c r="S32">
        <v>1610.7</v>
      </c>
      <c r="T32">
        <v>1806.5</v>
      </c>
      <c r="U32">
        <v>2002.3000000000002</v>
      </c>
      <c r="V32">
        <v>2198.1</v>
      </c>
    </row>
    <row r="33" spans="1:22" x14ac:dyDescent="0.25">
      <c r="A33">
        <v>55</v>
      </c>
      <c r="B33">
        <v>1255.68</v>
      </c>
      <c r="C33">
        <v>1356</v>
      </c>
      <c r="D33">
        <v>1935</v>
      </c>
      <c r="E33">
        <f>+D33-C33</f>
        <v>579</v>
      </c>
      <c r="F33">
        <f>+(D33-C33)/(5*2)</f>
        <v>57.9</v>
      </c>
      <c r="G33">
        <f>+C33+1*F33</f>
        <v>1413.9</v>
      </c>
      <c r="H33">
        <f>+C33+3*F33</f>
        <v>1529.7</v>
      </c>
      <c r="I33">
        <f>+C33+5*F33</f>
        <v>1645.5</v>
      </c>
      <c r="J33">
        <f>+C33+7*F33</f>
        <v>1761.3</v>
      </c>
      <c r="K33">
        <f>+C33+9*F33</f>
        <v>1877.1</v>
      </c>
      <c r="Q33">
        <v>55</v>
      </c>
      <c r="R33">
        <v>1413.9</v>
      </c>
      <c r="S33">
        <v>1529.7</v>
      </c>
      <c r="T33">
        <v>1645.5</v>
      </c>
      <c r="U33">
        <v>1761.3</v>
      </c>
      <c r="V33">
        <v>1877.1</v>
      </c>
    </row>
    <row r="34" spans="1:22" x14ac:dyDescent="0.25">
      <c r="A34">
        <v>57</v>
      </c>
      <c r="B34">
        <v>4195.4399999999996</v>
      </c>
      <c r="C34">
        <v>1474</v>
      </c>
      <c r="D34">
        <v>2967</v>
      </c>
      <c r="E34">
        <f>+D34-C34</f>
        <v>1493</v>
      </c>
      <c r="F34">
        <f>+(D34-C34)/(5*2)</f>
        <v>149.30000000000001</v>
      </c>
      <c r="G34">
        <f>+C34+1*F34</f>
        <v>1623.3</v>
      </c>
      <c r="H34">
        <f>+C34+3*F34</f>
        <v>1921.9</v>
      </c>
      <c r="I34">
        <f>+C34+5*F34</f>
        <v>2220.5</v>
      </c>
      <c r="J34">
        <f>+C34+7*F34</f>
        <v>2519.1000000000004</v>
      </c>
      <c r="K34">
        <f>+C34+9*F34</f>
        <v>2817.7</v>
      </c>
      <c r="Q34">
        <v>57</v>
      </c>
      <c r="R34">
        <v>1623.3</v>
      </c>
      <c r="S34">
        <v>1921.9</v>
      </c>
      <c r="T34">
        <v>2220.5</v>
      </c>
      <c r="U34">
        <v>2519.1000000000004</v>
      </c>
      <c r="V34">
        <v>2817.7</v>
      </c>
    </row>
    <row r="35" spans="1:22" x14ac:dyDescent="0.25">
      <c r="A35">
        <v>58</v>
      </c>
      <c r="B35">
        <v>3552.3</v>
      </c>
      <c r="C35">
        <v>1420</v>
      </c>
      <c r="D35">
        <v>3007</v>
      </c>
      <c r="E35">
        <f>+D35-C35</f>
        <v>1587</v>
      </c>
      <c r="F35">
        <f>+(D35-C35)/(5*2)</f>
        <v>158.69999999999999</v>
      </c>
      <c r="G35">
        <f>+C35+1*F35</f>
        <v>1578.7</v>
      </c>
      <c r="H35">
        <f>+C35+3*F35</f>
        <v>1896.1</v>
      </c>
      <c r="I35">
        <f>+C35+5*F35</f>
        <v>2213.5</v>
      </c>
      <c r="J35">
        <f>+C35+7*F35</f>
        <v>2530.8999999999996</v>
      </c>
      <c r="K35">
        <f>+C35+9*F35</f>
        <v>2848.3</v>
      </c>
      <c r="Q35">
        <v>58</v>
      </c>
      <c r="R35">
        <v>1578.7</v>
      </c>
      <c r="S35">
        <v>1896.1</v>
      </c>
      <c r="T35">
        <v>2213.5</v>
      </c>
      <c r="U35">
        <v>2530.8999999999996</v>
      </c>
      <c r="V35">
        <v>2848.3</v>
      </c>
    </row>
    <row r="36" spans="1:22" x14ac:dyDescent="0.25">
      <c r="A36">
        <v>61</v>
      </c>
      <c r="B36">
        <v>1894.94999999997</v>
      </c>
      <c r="C36">
        <v>1288</v>
      </c>
      <c r="D36">
        <v>1913</v>
      </c>
      <c r="E36">
        <f>+D36-C36</f>
        <v>625</v>
      </c>
      <c r="F36">
        <f>+(D36-C36)/(5*2)</f>
        <v>62.5</v>
      </c>
      <c r="G36">
        <f>+C36+1*F36</f>
        <v>1350.5</v>
      </c>
      <c r="H36">
        <f>+C36+3*F36</f>
        <v>1475.5</v>
      </c>
      <c r="I36">
        <f>+C36+5*F36</f>
        <v>1600.5</v>
      </c>
      <c r="J36">
        <f>+C36+7*F36</f>
        <v>1725.5</v>
      </c>
      <c r="K36">
        <f>+C36+9*F36</f>
        <v>1850.5</v>
      </c>
      <c r="Q36">
        <v>61</v>
      </c>
      <c r="R36">
        <v>1350.5</v>
      </c>
      <c r="S36">
        <v>1475.5</v>
      </c>
      <c r="T36">
        <v>1600.5</v>
      </c>
      <c r="U36">
        <v>1725.5</v>
      </c>
      <c r="V36">
        <v>1850.5</v>
      </c>
    </row>
    <row r="37" spans="1:22" x14ac:dyDescent="0.25">
      <c r="A37">
        <v>66</v>
      </c>
      <c r="B37">
        <v>3265.74</v>
      </c>
      <c r="C37">
        <v>1643</v>
      </c>
      <c r="D37">
        <v>2917</v>
      </c>
      <c r="E37">
        <f>+D37-C37</f>
        <v>1274</v>
      </c>
      <c r="F37">
        <f>+(D37-C37)/(5*2)</f>
        <v>127.4</v>
      </c>
      <c r="G37">
        <f>+C37+1*F37</f>
        <v>1770.4</v>
      </c>
      <c r="H37">
        <f>+C37+3*F37</f>
        <v>2025.2</v>
      </c>
      <c r="I37">
        <f>+C37+5*F37</f>
        <v>2280</v>
      </c>
      <c r="J37">
        <f>+C37+7*F37</f>
        <v>2534.8000000000002</v>
      </c>
      <c r="K37">
        <f>+C37+9*F37</f>
        <v>2789.6000000000004</v>
      </c>
      <c r="Q37">
        <v>66</v>
      </c>
      <c r="R37">
        <v>1770.4</v>
      </c>
      <c r="S37">
        <v>2025.2</v>
      </c>
      <c r="T37">
        <v>2280</v>
      </c>
      <c r="U37">
        <v>2534.8000000000002</v>
      </c>
      <c r="V37">
        <v>2789.6000000000004</v>
      </c>
    </row>
    <row r="38" spans="1:22" x14ac:dyDescent="0.25">
      <c r="A38">
        <v>70</v>
      </c>
      <c r="B38">
        <v>1662.75</v>
      </c>
      <c r="C38">
        <v>1330</v>
      </c>
      <c r="D38">
        <v>1917</v>
      </c>
      <c r="E38">
        <f>+D38-C38</f>
        <v>587</v>
      </c>
      <c r="F38">
        <f>+(D38-C38)/(5*2)</f>
        <v>58.7</v>
      </c>
      <c r="G38">
        <f>+C38+1*F38</f>
        <v>1388.7</v>
      </c>
      <c r="H38">
        <f>+C38+3*F38</f>
        <v>1506.1</v>
      </c>
      <c r="I38">
        <f>+C38+5*F38</f>
        <v>1623.5</v>
      </c>
      <c r="J38">
        <f>+C38+7*F38</f>
        <v>1740.9</v>
      </c>
      <c r="K38">
        <f>+C38+9*F38</f>
        <v>1858.3000000000002</v>
      </c>
      <c r="Q38">
        <v>70</v>
      </c>
      <c r="R38">
        <v>1388.7</v>
      </c>
      <c r="S38">
        <v>1506.1</v>
      </c>
      <c r="T38">
        <v>1623.5</v>
      </c>
      <c r="U38">
        <v>1740.9</v>
      </c>
      <c r="V38">
        <v>1858.3000000000002</v>
      </c>
    </row>
    <row r="39" spans="1:22" x14ac:dyDescent="0.25">
      <c r="A39">
        <v>74</v>
      </c>
      <c r="B39">
        <v>3553.74</v>
      </c>
      <c r="C39">
        <v>1420</v>
      </c>
      <c r="D39">
        <v>2044</v>
      </c>
      <c r="E39">
        <f>+D39-C39</f>
        <v>624</v>
      </c>
      <c r="F39">
        <f>+(D39-C39)/(5*2)</f>
        <v>62.4</v>
      </c>
      <c r="G39">
        <f>+C39+1*F39</f>
        <v>1482.4</v>
      </c>
      <c r="H39">
        <f>+C39+3*F39</f>
        <v>1607.2</v>
      </c>
      <c r="I39">
        <f>+C39+5*F39</f>
        <v>1732</v>
      </c>
      <c r="J39">
        <f>+C39+7*F39</f>
        <v>1856.8</v>
      </c>
      <c r="K39">
        <f>+C39+9*F39</f>
        <v>1981.6</v>
      </c>
      <c r="Q39">
        <v>74</v>
      </c>
      <c r="R39">
        <v>1482.4</v>
      </c>
      <c r="S39">
        <v>1607.2</v>
      </c>
      <c r="T39">
        <v>1732</v>
      </c>
      <c r="U39">
        <v>1856.8</v>
      </c>
      <c r="V39">
        <v>1981.6</v>
      </c>
    </row>
    <row r="40" spans="1:22" x14ac:dyDescent="0.25">
      <c r="A40">
        <v>81</v>
      </c>
      <c r="B40">
        <v>2878.56</v>
      </c>
      <c r="C40">
        <v>1629</v>
      </c>
      <c r="D40">
        <v>3003</v>
      </c>
      <c r="E40">
        <f>+D40-C40</f>
        <v>1374</v>
      </c>
      <c r="F40">
        <f>+(D40-C40)/(5*2)</f>
        <v>137.4</v>
      </c>
      <c r="G40">
        <f>+C40+1*F40</f>
        <v>1766.4</v>
      </c>
      <c r="H40">
        <f>+C40+3*F40</f>
        <v>2041.2</v>
      </c>
      <c r="I40">
        <f>+C40+5*F40</f>
        <v>2316</v>
      </c>
      <c r="J40">
        <f>+C40+7*F40</f>
        <v>2590.8000000000002</v>
      </c>
      <c r="K40">
        <f>+C40+9*F40</f>
        <v>2865.6000000000004</v>
      </c>
      <c r="Q40">
        <v>81</v>
      </c>
      <c r="R40">
        <v>1766.4</v>
      </c>
      <c r="S40">
        <v>2041.2</v>
      </c>
      <c r="T40">
        <v>2316</v>
      </c>
      <c r="U40">
        <v>2590.8000000000002</v>
      </c>
      <c r="V40">
        <v>2865.6000000000004</v>
      </c>
    </row>
    <row r="41" spans="1:22" x14ac:dyDescent="0.25">
      <c r="A41">
        <v>84</v>
      </c>
      <c r="B41">
        <v>979.83</v>
      </c>
      <c r="C41">
        <v>1285</v>
      </c>
      <c r="D41">
        <v>1983</v>
      </c>
      <c r="E41">
        <f>+D41-C41</f>
        <v>698</v>
      </c>
      <c r="F41">
        <f>+(D41-C41)/(5*2)</f>
        <v>69.8</v>
      </c>
      <c r="G41">
        <f>+C41+1*F41</f>
        <v>1354.8</v>
      </c>
      <c r="H41">
        <f>+C41+3*F41</f>
        <v>1494.4</v>
      </c>
      <c r="I41">
        <f>+C41+5*F41</f>
        <v>1634</v>
      </c>
      <c r="J41">
        <f>+C41+7*F41</f>
        <v>1773.6</v>
      </c>
      <c r="K41">
        <f>+C41+9*F41</f>
        <v>1913.1999999999998</v>
      </c>
      <c r="Q41">
        <v>84</v>
      </c>
      <c r="R41">
        <v>1354.8</v>
      </c>
      <c r="S41">
        <v>1494.4</v>
      </c>
      <c r="T41">
        <v>1634</v>
      </c>
      <c r="U41">
        <v>1773.6</v>
      </c>
      <c r="V41">
        <v>1913.1999999999998</v>
      </c>
    </row>
    <row r="42" spans="1:22" x14ac:dyDescent="0.25">
      <c r="A42">
        <v>86</v>
      </c>
      <c r="B42">
        <v>1106.9100000000001</v>
      </c>
      <c r="C42">
        <v>1471</v>
      </c>
      <c r="D42">
        <v>2121</v>
      </c>
      <c r="E42">
        <f>+D42-C42</f>
        <v>650</v>
      </c>
      <c r="F42">
        <f>+(D42-C42)/(5*2)</f>
        <v>65</v>
      </c>
      <c r="G42">
        <f>+C42+1*F42</f>
        <v>1536</v>
      </c>
      <c r="H42">
        <f>+C42+3*F42</f>
        <v>1666</v>
      </c>
      <c r="I42">
        <f>+C42+5*F42</f>
        <v>1796</v>
      </c>
      <c r="J42">
        <f>+C42+7*F42</f>
        <v>1926</v>
      </c>
      <c r="K42">
        <f>+C42+9*F42</f>
        <v>2056</v>
      </c>
      <c r="Q42">
        <v>86</v>
      </c>
      <c r="R42">
        <v>1536</v>
      </c>
      <c r="S42">
        <v>1666</v>
      </c>
      <c r="T42">
        <v>1796</v>
      </c>
      <c r="U42">
        <v>1926</v>
      </c>
      <c r="V42">
        <v>2056</v>
      </c>
    </row>
    <row r="43" spans="1:22" x14ac:dyDescent="0.25">
      <c r="A43">
        <v>87</v>
      </c>
      <c r="B43">
        <v>1525.86</v>
      </c>
      <c r="C43">
        <v>1280</v>
      </c>
      <c r="D43">
        <v>1866</v>
      </c>
      <c r="E43">
        <f>+D43-C43</f>
        <v>586</v>
      </c>
      <c r="F43">
        <f>+(D43-C43)/(5*2)</f>
        <v>58.6</v>
      </c>
      <c r="G43">
        <f>+C43+1*F43</f>
        <v>1338.6</v>
      </c>
      <c r="H43">
        <f>+C43+3*F43</f>
        <v>1455.8</v>
      </c>
      <c r="I43">
        <f>+C43+5*F43</f>
        <v>1573</v>
      </c>
      <c r="J43">
        <f>+C43+7*F43</f>
        <v>1690.2</v>
      </c>
      <c r="K43">
        <f>+C43+9*F43</f>
        <v>1807.4</v>
      </c>
      <c r="Q43">
        <v>87</v>
      </c>
      <c r="R43">
        <v>1338.6</v>
      </c>
      <c r="S43">
        <v>1455.8</v>
      </c>
      <c r="T43">
        <v>1573</v>
      </c>
      <c r="U43">
        <v>1690.2</v>
      </c>
      <c r="V43">
        <v>1807.4</v>
      </c>
    </row>
    <row r="44" spans="1:22" x14ac:dyDescent="0.25">
      <c r="A44">
        <v>88</v>
      </c>
      <c r="B44">
        <v>1431.54</v>
      </c>
      <c r="C44">
        <v>1290</v>
      </c>
      <c r="D44">
        <v>2014</v>
      </c>
      <c r="E44">
        <f>+D44-C44</f>
        <v>724</v>
      </c>
      <c r="F44">
        <f>+(D44-C44)/(5*2)</f>
        <v>72.400000000000006</v>
      </c>
      <c r="G44">
        <f>+C44+1*F44</f>
        <v>1362.4</v>
      </c>
      <c r="H44">
        <f>+C44+3*F44</f>
        <v>1507.2</v>
      </c>
      <c r="I44">
        <f>+C44+5*F44</f>
        <v>1652</v>
      </c>
      <c r="J44">
        <f>+C44+7*F44</f>
        <v>1796.8000000000002</v>
      </c>
      <c r="K44">
        <f>+C44+9*F44</f>
        <v>1941.6</v>
      </c>
      <c r="Q44">
        <v>88</v>
      </c>
      <c r="R44">
        <v>1362.4</v>
      </c>
      <c r="S44">
        <v>1507.2</v>
      </c>
      <c r="T44">
        <v>1652</v>
      </c>
      <c r="U44">
        <v>1796.8000000000002</v>
      </c>
      <c r="V44">
        <v>1941.6</v>
      </c>
    </row>
    <row r="45" spans="1:22" x14ac:dyDescent="0.25">
      <c r="A45">
        <v>90</v>
      </c>
      <c r="B45">
        <v>1062.0899999999999</v>
      </c>
      <c r="C45">
        <v>1621</v>
      </c>
      <c r="D45">
        <v>2437</v>
      </c>
      <c r="E45">
        <f>+D45-C45</f>
        <v>816</v>
      </c>
      <c r="F45">
        <f>+(D45-C45)/(5*2)</f>
        <v>81.599999999999994</v>
      </c>
      <c r="G45">
        <f>+C45+1*F45</f>
        <v>1702.6</v>
      </c>
      <c r="H45">
        <f>+C45+3*F45</f>
        <v>1865.8</v>
      </c>
      <c r="I45">
        <f>+C45+5*F45</f>
        <v>2029</v>
      </c>
      <c r="J45">
        <f>+C45+7*F45</f>
        <v>2192.1999999999998</v>
      </c>
      <c r="K45">
        <f>+C45+9*F45</f>
        <v>2355.4</v>
      </c>
      <c r="Q45">
        <v>90</v>
      </c>
      <c r="R45">
        <v>1702.6</v>
      </c>
      <c r="S45">
        <v>1865.8</v>
      </c>
      <c r="T45">
        <v>2029</v>
      </c>
      <c r="U45">
        <v>2192.1999999999998</v>
      </c>
      <c r="V45">
        <v>2355.4</v>
      </c>
    </row>
    <row r="46" spans="1:22" x14ac:dyDescent="0.25">
      <c r="A46">
        <v>94</v>
      </c>
      <c r="B46">
        <v>3788.73</v>
      </c>
      <c r="C46">
        <v>1339</v>
      </c>
      <c r="D46">
        <v>2011</v>
      </c>
      <c r="E46">
        <f>+D46-C46</f>
        <v>672</v>
      </c>
      <c r="F46">
        <f>+(D46-C46)/(5*2)</f>
        <v>67.2</v>
      </c>
      <c r="G46">
        <f>+C46+1*F46</f>
        <v>1406.2</v>
      </c>
      <c r="H46">
        <f>+C46+3*F46</f>
        <v>1540.6</v>
      </c>
      <c r="I46">
        <f>+C46+5*F46</f>
        <v>1675</v>
      </c>
      <c r="J46">
        <f>+C46+7*F46</f>
        <v>1809.4</v>
      </c>
      <c r="K46">
        <f>+C46+9*F46</f>
        <v>1943.8000000000002</v>
      </c>
      <c r="Q46">
        <v>94</v>
      </c>
      <c r="R46">
        <v>1406.2</v>
      </c>
      <c r="S46">
        <v>1540.6</v>
      </c>
      <c r="T46">
        <v>1675</v>
      </c>
      <c r="U46">
        <v>1809.4</v>
      </c>
      <c r="V46">
        <v>1943.8000000000002</v>
      </c>
    </row>
    <row r="47" spans="1:22" x14ac:dyDescent="0.25">
      <c r="A47">
        <v>95</v>
      </c>
      <c r="B47">
        <v>3249.9</v>
      </c>
      <c r="C47">
        <v>1286</v>
      </c>
      <c r="D47">
        <v>1936</v>
      </c>
      <c r="E47">
        <f>+D47-C47</f>
        <v>650</v>
      </c>
      <c r="F47">
        <f>+(D47-C47)/(5*2)</f>
        <v>65</v>
      </c>
      <c r="G47">
        <f>+C47+1*F47</f>
        <v>1351</v>
      </c>
      <c r="H47">
        <f>+C47+3*F47</f>
        <v>1481</v>
      </c>
      <c r="I47">
        <f>+C47+5*F47</f>
        <v>1611</v>
      </c>
      <c r="J47">
        <f>+C47+7*F47</f>
        <v>1741</v>
      </c>
      <c r="K47">
        <f>+C47+9*F47</f>
        <v>1871</v>
      </c>
      <c r="Q47">
        <v>95</v>
      </c>
      <c r="R47">
        <v>1351</v>
      </c>
      <c r="S47">
        <v>1481</v>
      </c>
      <c r="T47">
        <v>1611</v>
      </c>
      <c r="U47">
        <v>1741</v>
      </c>
      <c r="V47">
        <v>1871</v>
      </c>
    </row>
    <row r="48" spans="1:22" x14ac:dyDescent="0.25">
      <c r="A48">
        <v>97</v>
      </c>
      <c r="B48">
        <v>3512.07</v>
      </c>
      <c r="C48">
        <v>1630</v>
      </c>
      <c r="D48">
        <v>3086</v>
      </c>
      <c r="E48">
        <f>+D48-C48</f>
        <v>1456</v>
      </c>
      <c r="F48">
        <f>+(D48-C48)/(5*2)</f>
        <v>145.6</v>
      </c>
      <c r="G48">
        <f>+C48+1*F48</f>
        <v>1775.6</v>
      </c>
      <c r="H48">
        <f>+C48+3*F48</f>
        <v>2066.8000000000002</v>
      </c>
      <c r="I48">
        <f>+C48+5*F48</f>
        <v>2358</v>
      </c>
      <c r="J48">
        <f>+C48+7*F48</f>
        <v>2649.2</v>
      </c>
      <c r="K48">
        <f>+C48+9*F48</f>
        <v>2940.3999999999996</v>
      </c>
      <c r="Q48">
        <v>97</v>
      </c>
      <c r="R48">
        <v>1775.6</v>
      </c>
      <c r="S48">
        <v>2066.8000000000002</v>
      </c>
      <c r="T48">
        <v>2358</v>
      </c>
      <c r="U48">
        <v>2649.2</v>
      </c>
      <c r="V48">
        <v>2940.3999999999996</v>
      </c>
    </row>
    <row r="49" spans="1:22" x14ac:dyDescent="0.25">
      <c r="A49">
        <v>98</v>
      </c>
      <c r="B49">
        <v>2329.6499999999801</v>
      </c>
      <c r="C49">
        <v>1408</v>
      </c>
      <c r="D49">
        <v>2044</v>
      </c>
      <c r="E49">
        <f>+D49-C49</f>
        <v>636</v>
      </c>
      <c r="F49">
        <f>+(D49-C49)/(5*2)</f>
        <v>63.6</v>
      </c>
      <c r="G49">
        <f>+C49+1*F49</f>
        <v>1471.6</v>
      </c>
      <c r="H49">
        <f>+C49+3*F49</f>
        <v>1598.8</v>
      </c>
      <c r="I49">
        <f>+C49+5*F49</f>
        <v>1726</v>
      </c>
      <c r="J49">
        <f>+C49+7*F49</f>
        <v>1853.2</v>
      </c>
      <c r="K49">
        <f>+C49+9*F49</f>
        <v>1980.4</v>
      </c>
      <c r="Q49">
        <v>98</v>
      </c>
      <c r="R49">
        <v>1471.6</v>
      </c>
      <c r="S49">
        <v>1598.8</v>
      </c>
      <c r="T49">
        <v>1726</v>
      </c>
      <c r="U49">
        <v>1853.2</v>
      </c>
      <c r="V49">
        <v>1980.4</v>
      </c>
    </row>
    <row r="50" spans="1:22" x14ac:dyDescent="0.25">
      <c r="A50">
        <v>99</v>
      </c>
      <c r="B50">
        <v>2446.56</v>
      </c>
      <c r="C50">
        <v>1471</v>
      </c>
      <c r="D50">
        <v>2043</v>
      </c>
      <c r="E50">
        <f>+D50-C50</f>
        <v>572</v>
      </c>
      <c r="F50">
        <f>+(D50-C50)/(5*2)</f>
        <v>57.2</v>
      </c>
      <c r="G50">
        <f>+C50+1*F50</f>
        <v>1528.2</v>
      </c>
      <c r="H50">
        <f>+C50+3*F50</f>
        <v>1642.6</v>
      </c>
      <c r="I50">
        <f>+C50+5*F50</f>
        <v>1757</v>
      </c>
      <c r="J50">
        <f>+C50+7*F50</f>
        <v>1871.4</v>
      </c>
      <c r="K50">
        <f>+C50+9*F50</f>
        <v>1985.8000000000002</v>
      </c>
      <c r="Q50">
        <v>99</v>
      </c>
      <c r="R50">
        <v>1528.2</v>
      </c>
      <c r="S50">
        <v>1642.6</v>
      </c>
      <c r="T50">
        <v>1757</v>
      </c>
      <c r="U50">
        <v>1871.4</v>
      </c>
      <c r="V50">
        <v>1985.8000000000002</v>
      </c>
    </row>
    <row r="51" spans="1:22" x14ac:dyDescent="0.25">
      <c r="A51">
        <v>100</v>
      </c>
      <c r="B51">
        <v>2464.65</v>
      </c>
      <c r="C51">
        <v>1551</v>
      </c>
      <c r="D51">
        <v>2169</v>
      </c>
      <c r="E51">
        <f>+D51-C51</f>
        <v>618</v>
      </c>
      <c r="F51">
        <f>+(D51-C51)/(5*2)</f>
        <v>61.8</v>
      </c>
      <c r="G51">
        <f>+C51+1*F51</f>
        <v>1612.8</v>
      </c>
      <c r="H51">
        <f>+C51+3*F51</f>
        <v>1736.4</v>
      </c>
      <c r="I51">
        <f>+C51+5*F51</f>
        <v>1860</v>
      </c>
      <c r="J51">
        <f>+C51+7*F51</f>
        <v>1983.6</v>
      </c>
      <c r="K51">
        <f>+C51+9*F51</f>
        <v>2107.1999999999998</v>
      </c>
      <c r="Q51">
        <v>100</v>
      </c>
      <c r="R51">
        <v>1612.8</v>
      </c>
      <c r="S51">
        <v>1736.4</v>
      </c>
      <c r="T51">
        <v>1860</v>
      </c>
      <c r="U51">
        <v>1983.6</v>
      </c>
      <c r="V51">
        <v>2107.1999999999998</v>
      </c>
    </row>
    <row r="52" spans="1:22" x14ac:dyDescent="0.25">
      <c r="A52">
        <v>101</v>
      </c>
      <c r="B52">
        <v>1296.0899999999999</v>
      </c>
      <c r="C52">
        <v>1297</v>
      </c>
      <c r="D52">
        <v>2218</v>
      </c>
      <c r="E52">
        <f>+D52-C52</f>
        <v>921</v>
      </c>
      <c r="F52">
        <f>+(D52-C52)/(5*2)</f>
        <v>92.1</v>
      </c>
      <c r="G52">
        <f>+C52+1*F52</f>
        <v>1389.1</v>
      </c>
      <c r="H52">
        <f>+C52+3*F52</f>
        <v>1573.3</v>
      </c>
      <c r="I52">
        <f>+C52+5*F52</f>
        <v>1757.5</v>
      </c>
      <c r="J52">
        <f>+C52+7*F52</f>
        <v>1941.6999999999998</v>
      </c>
      <c r="K52">
        <f>+C52+9*F52</f>
        <v>2125.9</v>
      </c>
      <c r="Q52">
        <v>101</v>
      </c>
      <c r="R52">
        <v>1389.1</v>
      </c>
      <c r="S52">
        <v>1573.3</v>
      </c>
      <c r="T52">
        <v>1757.5</v>
      </c>
      <c r="U52">
        <v>1941.6999999999998</v>
      </c>
      <c r="V52">
        <v>2125.9</v>
      </c>
    </row>
    <row r="53" spans="1:22" x14ac:dyDescent="0.25">
      <c r="A53">
        <v>102</v>
      </c>
      <c r="B53">
        <v>2801.07</v>
      </c>
      <c r="C53">
        <v>1282</v>
      </c>
      <c r="D53">
        <v>2282</v>
      </c>
      <c r="E53">
        <f>+D53-C53</f>
        <v>1000</v>
      </c>
      <c r="F53">
        <f>+(D53-C53)/(5*2)</f>
        <v>100</v>
      </c>
      <c r="G53">
        <f>+C53+1*F53</f>
        <v>1382</v>
      </c>
      <c r="H53">
        <f>+C53+3*F53</f>
        <v>1582</v>
      </c>
      <c r="I53">
        <f>+C53+5*F53</f>
        <v>1782</v>
      </c>
      <c r="J53">
        <f>+C53+7*F53</f>
        <v>1982</v>
      </c>
      <c r="K53">
        <f>+C53+9*F53</f>
        <v>2182</v>
      </c>
      <c r="Q53">
        <v>102</v>
      </c>
      <c r="R53">
        <v>1382</v>
      </c>
      <c r="S53">
        <v>1582</v>
      </c>
      <c r="T53">
        <v>1782</v>
      </c>
      <c r="U53">
        <v>1982</v>
      </c>
      <c r="V53">
        <v>2182</v>
      </c>
    </row>
    <row r="54" spans="1:22" x14ac:dyDescent="0.25">
      <c r="A54">
        <v>103</v>
      </c>
      <c r="B54">
        <v>1918.97999999998</v>
      </c>
      <c r="C54">
        <v>1405</v>
      </c>
      <c r="D54">
        <v>2025</v>
      </c>
      <c r="E54">
        <f>+D54-C54</f>
        <v>620</v>
      </c>
      <c r="F54">
        <f>+(D54-C54)/(5*2)</f>
        <v>62</v>
      </c>
      <c r="G54">
        <f>+C54+1*F54</f>
        <v>1467</v>
      </c>
      <c r="H54">
        <f>+C54+3*F54</f>
        <v>1591</v>
      </c>
      <c r="I54">
        <f>+C54+5*F54</f>
        <v>1715</v>
      </c>
      <c r="J54">
        <f>+C54+7*F54</f>
        <v>1839</v>
      </c>
      <c r="K54">
        <f>+C54+9*F54</f>
        <v>1963</v>
      </c>
      <c r="Q54">
        <v>103</v>
      </c>
      <c r="R54">
        <v>1467</v>
      </c>
      <c r="S54">
        <v>1591</v>
      </c>
      <c r="T54">
        <v>1715</v>
      </c>
      <c r="U54">
        <v>1839</v>
      </c>
      <c r="V54">
        <v>1963</v>
      </c>
    </row>
    <row r="55" spans="1:22" x14ac:dyDescent="0.25">
      <c r="A55">
        <v>104</v>
      </c>
      <c r="B55">
        <v>1772.64</v>
      </c>
      <c r="C55">
        <v>1296</v>
      </c>
      <c r="D55">
        <v>2118</v>
      </c>
      <c r="E55">
        <f>+D55-C55</f>
        <v>822</v>
      </c>
      <c r="F55">
        <f>+(D55-C55)/(5*2)</f>
        <v>82.2</v>
      </c>
      <c r="G55">
        <f>+C55+1*F55</f>
        <v>1378.2</v>
      </c>
      <c r="H55">
        <f>+C55+3*F55</f>
        <v>1542.6</v>
      </c>
      <c r="I55">
        <f>+C55+5*F55</f>
        <v>1707</v>
      </c>
      <c r="J55">
        <f>+C55+7*F55</f>
        <v>1871.4</v>
      </c>
      <c r="K55">
        <f>+C55+9*F55</f>
        <v>2035.8000000000002</v>
      </c>
      <c r="Q55">
        <v>104</v>
      </c>
      <c r="R55">
        <v>1378.2</v>
      </c>
      <c r="S55">
        <v>1542.6</v>
      </c>
      <c r="T55">
        <v>1707</v>
      </c>
      <c r="U55">
        <v>1871.4</v>
      </c>
      <c r="V55">
        <v>2035.8000000000002</v>
      </c>
    </row>
    <row r="56" spans="1:22" x14ac:dyDescent="0.25">
      <c r="A56">
        <v>105</v>
      </c>
      <c r="B56">
        <v>1571.22</v>
      </c>
      <c r="C56">
        <v>1280</v>
      </c>
      <c r="D56">
        <v>1843</v>
      </c>
      <c r="E56">
        <f>+D56-C56</f>
        <v>563</v>
      </c>
      <c r="F56">
        <f>+(D56-C56)/(5*2)</f>
        <v>56.3</v>
      </c>
      <c r="G56">
        <f>+C56+1*F56</f>
        <v>1336.3</v>
      </c>
      <c r="H56">
        <f>+C56+3*F56</f>
        <v>1448.9</v>
      </c>
      <c r="I56">
        <f>+C56+5*F56</f>
        <v>1561.5</v>
      </c>
      <c r="J56">
        <f>+C56+7*F56</f>
        <v>1674.1</v>
      </c>
      <c r="K56">
        <f>+C56+9*F56</f>
        <v>1786.7</v>
      </c>
      <c r="Q56">
        <v>105</v>
      </c>
      <c r="R56">
        <v>1336.3</v>
      </c>
      <c r="S56">
        <v>1448.9</v>
      </c>
      <c r="T56">
        <v>1561.5</v>
      </c>
      <c r="U56">
        <v>1674.1</v>
      </c>
      <c r="V56">
        <v>1786.7</v>
      </c>
    </row>
    <row r="57" spans="1:22" x14ac:dyDescent="0.25">
      <c r="A57">
        <v>106</v>
      </c>
      <c r="B57">
        <v>3023.37</v>
      </c>
      <c r="C57">
        <v>1620</v>
      </c>
      <c r="D57">
        <v>3243</v>
      </c>
      <c r="E57">
        <f>+D57-C57</f>
        <v>1623</v>
      </c>
      <c r="F57">
        <f>+(D57-C57)/(5*2)</f>
        <v>162.30000000000001</v>
      </c>
      <c r="G57">
        <f>+C57+1*F57</f>
        <v>1782.3</v>
      </c>
      <c r="H57">
        <f>+C57+3*F57</f>
        <v>2106.9</v>
      </c>
      <c r="I57">
        <f>+C57+5*F57</f>
        <v>2431.5</v>
      </c>
      <c r="J57">
        <f>+C57+7*F57</f>
        <v>2756.1000000000004</v>
      </c>
      <c r="K57">
        <f>+C57+9*F57</f>
        <v>3080.7</v>
      </c>
      <c r="Q57">
        <v>106</v>
      </c>
      <c r="R57">
        <v>1782.3</v>
      </c>
      <c r="S57">
        <v>2106.9</v>
      </c>
      <c r="T57">
        <v>2431.5</v>
      </c>
      <c r="U57">
        <v>2756.1000000000004</v>
      </c>
      <c r="V57">
        <v>3080.7</v>
      </c>
    </row>
    <row r="58" spans="1:22" x14ac:dyDescent="0.25">
      <c r="A58">
        <v>107</v>
      </c>
      <c r="B58">
        <v>2592.4499999999998</v>
      </c>
      <c r="C58">
        <v>1349</v>
      </c>
      <c r="D58">
        <v>2100</v>
      </c>
      <c r="E58">
        <f>+D58-C58</f>
        <v>751</v>
      </c>
      <c r="F58">
        <f>+(D58-C58)/(5*2)</f>
        <v>75.099999999999994</v>
      </c>
      <c r="G58">
        <f>+C58+1*F58</f>
        <v>1424.1</v>
      </c>
      <c r="H58">
        <f>+C58+3*F58</f>
        <v>1574.3</v>
      </c>
      <c r="I58">
        <f>+C58+5*F58</f>
        <v>1724.5</v>
      </c>
      <c r="J58">
        <f>+C58+7*F58</f>
        <v>1874.6999999999998</v>
      </c>
      <c r="K58">
        <f>+C58+9*F58</f>
        <v>2024.9</v>
      </c>
      <c r="Q58">
        <v>107</v>
      </c>
      <c r="R58">
        <v>1424.1</v>
      </c>
      <c r="S58">
        <v>1574.3</v>
      </c>
      <c r="T58">
        <v>1724.5</v>
      </c>
      <c r="U58">
        <v>1874.6999999999998</v>
      </c>
      <c r="V58">
        <v>2024.9</v>
      </c>
    </row>
    <row r="59" spans="1:22" x14ac:dyDescent="0.25">
      <c r="A59">
        <v>109</v>
      </c>
      <c r="B59">
        <v>1015.92</v>
      </c>
      <c r="C59">
        <v>1439</v>
      </c>
      <c r="D59">
        <v>2172</v>
      </c>
      <c r="E59">
        <f>+D59-C59</f>
        <v>733</v>
      </c>
      <c r="F59">
        <f>+(D59-C59)/(5*2)</f>
        <v>73.3</v>
      </c>
      <c r="G59">
        <f>+C59+1*F59</f>
        <v>1512.3</v>
      </c>
      <c r="H59">
        <f>+C59+3*F59</f>
        <v>1658.9</v>
      </c>
      <c r="I59">
        <f>+C59+5*F59</f>
        <v>1805.5</v>
      </c>
      <c r="J59">
        <f>+C59+7*F59</f>
        <v>1952.1</v>
      </c>
      <c r="K59">
        <f>+C59+9*F59</f>
        <v>2098.6999999999998</v>
      </c>
      <c r="Q59">
        <v>109</v>
      </c>
      <c r="R59">
        <v>1512.3</v>
      </c>
      <c r="S59">
        <v>1658.9</v>
      </c>
      <c r="T59">
        <v>1805.5</v>
      </c>
      <c r="U59">
        <v>1952.1</v>
      </c>
      <c r="V59">
        <v>2098.6999999999998</v>
      </c>
    </row>
    <row r="60" spans="1:22" x14ac:dyDescent="0.25">
      <c r="A60">
        <v>110</v>
      </c>
      <c r="B60">
        <v>825.12</v>
      </c>
      <c r="C60">
        <v>1335</v>
      </c>
      <c r="D60">
        <v>1908</v>
      </c>
      <c r="E60">
        <f>+D60-C60</f>
        <v>573</v>
      </c>
      <c r="F60">
        <f>+(D60-C60)/(5*2)</f>
        <v>57.3</v>
      </c>
      <c r="G60">
        <f>+C60+1*F60</f>
        <v>1392.3</v>
      </c>
      <c r="H60">
        <f>+C60+3*F60</f>
        <v>1506.9</v>
      </c>
      <c r="I60">
        <f>+C60+5*F60</f>
        <v>1621.5</v>
      </c>
      <c r="J60">
        <f>+C60+7*F60</f>
        <v>1736.1</v>
      </c>
      <c r="K60">
        <f>+C60+9*F60</f>
        <v>1850.6999999999998</v>
      </c>
      <c r="Q60">
        <v>110</v>
      </c>
      <c r="R60">
        <v>1392.3</v>
      </c>
      <c r="S60">
        <v>1506.9</v>
      </c>
      <c r="T60">
        <v>1621.5</v>
      </c>
      <c r="U60">
        <v>1736.1</v>
      </c>
      <c r="V60">
        <v>1850.6999999999998</v>
      </c>
    </row>
    <row r="61" spans="1:22" x14ac:dyDescent="0.25">
      <c r="A61">
        <v>111</v>
      </c>
      <c r="B61">
        <v>1714.94999999998</v>
      </c>
      <c r="C61">
        <v>1414</v>
      </c>
      <c r="D61">
        <v>2040</v>
      </c>
      <c r="E61">
        <f>+D61-C61</f>
        <v>626</v>
      </c>
      <c r="F61">
        <f>+(D61-C61)/(5*2)</f>
        <v>62.6</v>
      </c>
      <c r="G61">
        <f>+C61+1*F61</f>
        <v>1476.6</v>
      </c>
      <c r="H61">
        <f>+C61+3*F61</f>
        <v>1601.8</v>
      </c>
      <c r="I61">
        <f>+C61+5*F61</f>
        <v>1727</v>
      </c>
      <c r="J61">
        <f>+C61+7*F61</f>
        <v>1852.2</v>
      </c>
      <c r="K61">
        <f>+C61+9*F61</f>
        <v>1977.4</v>
      </c>
      <c r="Q61">
        <v>111</v>
      </c>
      <c r="R61">
        <v>1476.6</v>
      </c>
      <c r="S61">
        <v>1601.8</v>
      </c>
      <c r="T61">
        <v>1727</v>
      </c>
      <c r="U61">
        <v>1852.2</v>
      </c>
      <c r="V61">
        <v>1977.4</v>
      </c>
    </row>
    <row r="62" spans="1:22" x14ac:dyDescent="0.25">
      <c r="A62">
        <v>112</v>
      </c>
      <c r="B62">
        <v>1462.95</v>
      </c>
      <c r="C62">
        <v>1441</v>
      </c>
      <c r="D62">
        <v>2151</v>
      </c>
      <c r="E62">
        <f>+D62-C62</f>
        <v>710</v>
      </c>
      <c r="F62">
        <f>+(D62-C62)/(5*2)</f>
        <v>71</v>
      </c>
      <c r="G62">
        <f>+C62+1*F62</f>
        <v>1512</v>
      </c>
      <c r="H62">
        <f>+C62+3*F62</f>
        <v>1654</v>
      </c>
      <c r="I62">
        <f>+C62+5*F62</f>
        <v>1796</v>
      </c>
      <c r="J62">
        <f>+C62+7*F62</f>
        <v>1938</v>
      </c>
      <c r="K62">
        <f>+C62+9*F62</f>
        <v>2080</v>
      </c>
      <c r="Q62">
        <v>112</v>
      </c>
      <c r="R62">
        <v>1512</v>
      </c>
      <c r="S62">
        <v>1654</v>
      </c>
      <c r="T62">
        <v>1796</v>
      </c>
      <c r="U62">
        <v>1938</v>
      </c>
      <c r="V62">
        <v>2080</v>
      </c>
    </row>
    <row r="63" spans="1:22" x14ac:dyDescent="0.25">
      <c r="A63">
        <v>114</v>
      </c>
      <c r="B63">
        <v>1589.04</v>
      </c>
      <c r="C63">
        <v>1401</v>
      </c>
      <c r="D63">
        <v>2162</v>
      </c>
      <c r="E63">
        <f>+D63-C63</f>
        <v>761</v>
      </c>
      <c r="F63">
        <f>+(D63-C63)/(5*2)</f>
        <v>76.099999999999994</v>
      </c>
      <c r="G63">
        <f>+C63+1*F63</f>
        <v>1477.1</v>
      </c>
      <c r="H63">
        <f>+C63+3*F63</f>
        <v>1629.3</v>
      </c>
      <c r="I63">
        <f>+C63+5*F63</f>
        <v>1781.5</v>
      </c>
      <c r="J63">
        <f>+C63+7*F63</f>
        <v>1933.6999999999998</v>
      </c>
      <c r="K63">
        <f>+C63+9*F63</f>
        <v>2085.9</v>
      </c>
      <c r="Q63">
        <v>114</v>
      </c>
      <c r="R63">
        <v>1477.1</v>
      </c>
      <c r="S63">
        <v>1629.3</v>
      </c>
      <c r="T63">
        <v>1781.5</v>
      </c>
      <c r="U63">
        <v>1933.6999999999998</v>
      </c>
      <c r="V63">
        <v>2085.9</v>
      </c>
    </row>
    <row r="64" spans="1:22" x14ac:dyDescent="0.25">
      <c r="A64">
        <v>116</v>
      </c>
      <c r="B64">
        <v>4197.78</v>
      </c>
      <c r="C64">
        <v>1410</v>
      </c>
      <c r="D64">
        <v>2114</v>
      </c>
      <c r="E64">
        <f>+D64-C64</f>
        <v>704</v>
      </c>
      <c r="F64">
        <f>+(D64-C64)/(5*2)</f>
        <v>70.400000000000006</v>
      </c>
      <c r="G64">
        <f>+C64+1*F64</f>
        <v>1480.4</v>
      </c>
      <c r="H64">
        <f>+C64+3*F64</f>
        <v>1621.2</v>
      </c>
      <c r="I64">
        <f>+C64+5*F64</f>
        <v>1762</v>
      </c>
      <c r="J64">
        <f>+C64+7*F64</f>
        <v>1902.8000000000002</v>
      </c>
      <c r="K64">
        <f>+C64+9*F64</f>
        <v>2043.6</v>
      </c>
      <c r="Q64">
        <v>116</v>
      </c>
      <c r="R64">
        <v>1480.4</v>
      </c>
      <c r="S64">
        <v>1621.2</v>
      </c>
      <c r="T64">
        <v>1762</v>
      </c>
      <c r="U64">
        <v>1902.8000000000002</v>
      </c>
      <c r="V64">
        <v>2043.6</v>
      </c>
    </row>
    <row r="65" spans="1:22" x14ac:dyDescent="0.25">
      <c r="A65">
        <v>117</v>
      </c>
      <c r="B65">
        <v>2135.9699999999998</v>
      </c>
      <c r="C65">
        <v>1567</v>
      </c>
      <c r="D65">
        <v>2276</v>
      </c>
      <c r="E65">
        <f>+D65-C65</f>
        <v>709</v>
      </c>
      <c r="F65">
        <f>+(D65-C65)/(5*2)</f>
        <v>70.900000000000006</v>
      </c>
      <c r="G65">
        <f>+C65+1*F65</f>
        <v>1637.9</v>
      </c>
      <c r="H65">
        <f>+C65+3*F65</f>
        <v>1779.7</v>
      </c>
      <c r="I65">
        <f>+C65+5*F65</f>
        <v>1921.5</v>
      </c>
      <c r="J65">
        <f>+C65+7*F65</f>
        <v>2063.3000000000002</v>
      </c>
      <c r="K65">
        <f>+C65+9*F65</f>
        <v>2205.1</v>
      </c>
      <c r="Q65">
        <v>117</v>
      </c>
      <c r="R65">
        <v>1637.9</v>
      </c>
      <c r="S65">
        <v>1779.7</v>
      </c>
      <c r="T65">
        <v>1921.5</v>
      </c>
      <c r="U65">
        <v>2063.3000000000002</v>
      </c>
      <c r="V65">
        <v>2205.1</v>
      </c>
    </row>
    <row r="66" spans="1:22" x14ac:dyDescent="0.25">
      <c r="A66">
        <v>118</v>
      </c>
      <c r="B66">
        <v>1248.03</v>
      </c>
      <c r="C66">
        <v>1432</v>
      </c>
      <c r="D66">
        <v>2316</v>
      </c>
      <c r="E66">
        <f>+D66-C66</f>
        <v>884</v>
      </c>
      <c r="F66">
        <f>+(D66-C66)/(5*2)</f>
        <v>88.4</v>
      </c>
      <c r="G66">
        <f>+C66+1*F66</f>
        <v>1520.4</v>
      </c>
      <c r="H66">
        <f>+C66+3*F66</f>
        <v>1697.2</v>
      </c>
      <c r="I66">
        <f>+C66+5*F66</f>
        <v>1874</v>
      </c>
      <c r="J66">
        <f>+C66+7*F66</f>
        <v>2050.8000000000002</v>
      </c>
      <c r="K66">
        <f>+C66+9*F66</f>
        <v>2227.6</v>
      </c>
      <c r="Q66">
        <v>118</v>
      </c>
      <c r="R66">
        <v>1520.4</v>
      </c>
      <c r="S66">
        <v>1697.2</v>
      </c>
      <c r="T66">
        <v>1874</v>
      </c>
      <c r="U66">
        <v>2050.8000000000002</v>
      </c>
      <c r="V66">
        <v>2227.6</v>
      </c>
    </row>
    <row r="67" spans="1:22" x14ac:dyDescent="0.25">
      <c r="A67">
        <v>119</v>
      </c>
      <c r="B67">
        <v>5360.76</v>
      </c>
      <c r="C67">
        <v>1370</v>
      </c>
      <c r="D67">
        <v>2343</v>
      </c>
      <c r="E67">
        <f>+D67-C67</f>
        <v>973</v>
      </c>
      <c r="F67">
        <f>+(D67-C67)/(5*2)</f>
        <v>97.3</v>
      </c>
      <c r="G67">
        <f>+C67+1*F67</f>
        <v>1467.3</v>
      </c>
      <c r="H67">
        <f>+C67+3*F67</f>
        <v>1661.9</v>
      </c>
      <c r="I67">
        <f>+C67+5*F67</f>
        <v>1856.5</v>
      </c>
      <c r="J67">
        <f>+C67+7*F67</f>
        <v>2051.1</v>
      </c>
      <c r="K67">
        <f>+C67+9*F67</f>
        <v>2245.6999999999998</v>
      </c>
      <c r="Q67">
        <v>119</v>
      </c>
      <c r="R67">
        <v>1467.3</v>
      </c>
      <c r="S67">
        <v>1661.9</v>
      </c>
      <c r="T67">
        <v>1856.5</v>
      </c>
      <c r="U67">
        <v>2051.1</v>
      </c>
      <c r="V67">
        <v>2245.6999999999998</v>
      </c>
    </row>
    <row r="68" spans="1:22" x14ac:dyDescent="0.25">
      <c r="A68">
        <v>120</v>
      </c>
      <c r="B68">
        <v>3936.51</v>
      </c>
      <c r="C68">
        <v>1566</v>
      </c>
      <c r="D68">
        <v>2359</v>
      </c>
      <c r="E68">
        <f>+D68-C68</f>
        <v>793</v>
      </c>
      <c r="F68">
        <f>+(D68-C68)/(5*2)</f>
        <v>79.3</v>
      </c>
      <c r="G68">
        <f>+C68+1*F68</f>
        <v>1645.3</v>
      </c>
      <c r="H68">
        <f>+C68+3*F68</f>
        <v>1803.9</v>
      </c>
      <c r="I68">
        <f>+C68+5*F68</f>
        <v>1962.5</v>
      </c>
      <c r="J68">
        <f>+C68+7*F68</f>
        <v>2121.1</v>
      </c>
      <c r="K68">
        <f>+C68+9*F68</f>
        <v>2279.6999999999998</v>
      </c>
      <c r="Q68">
        <v>120</v>
      </c>
      <c r="R68">
        <v>1645.3</v>
      </c>
      <c r="S68">
        <v>1803.9</v>
      </c>
      <c r="T68">
        <v>1962.5</v>
      </c>
      <c r="U68">
        <v>2121.1</v>
      </c>
      <c r="V68">
        <v>2279.6999999999998</v>
      </c>
    </row>
    <row r="69" spans="1:22" x14ac:dyDescent="0.25">
      <c r="A69">
        <v>121</v>
      </c>
      <c r="B69">
        <v>4395.87</v>
      </c>
      <c r="C69">
        <v>1434</v>
      </c>
      <c r="D69">
        <v>2342</v>
      </c>
      <c r="E69">
        <f>+D69-C69</f>
        <v>908</v>
      </c>
      <c r="F69">
        <f>+(D69-C69)/(5*2)</f>
        <v>90.8</v>
      </c>
      <c r="G69">
        <f>+C69+1*F69</f>
        <v>1524.8</v>
      </c>
      <c r="H69">
        <f>+C69+3*F69</f>
        <v>1706.4</v>
      </c>
      <c r="I69">
        <f>+C69+5*F69</f>
        <v>1888</v>
      </c>
      <c r="J69">
        <f>+C69+7*F69</f>
        <v>2069.6</v>
      </c>
      <c r="K69">
        <f>+C69+9*F69</f>
        <v>2251.1999999999998</v>
      </c>
      <c r="Q69">
        <v>121</v>
      </c>
      <c r="R69">
        <v>1524.8</v>
      </c>
      <c r="S69">
        <v>1706.4</v>
      </c>
      <c r="T69">
        <v>1888</v>
      </c>
      <c r="U69">
        <v>2069.6</v>
      </c>
      <c r="V69">
        <v>2251.1999999999998</v>
      </c>
    </row>
  </sheetData>
  <sortState ref="A2:K12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Watershed</vt:lpstr>
      <vt:lpstr>Sheet1</vt:lpstr>
      <vt:lpstr>Watershed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</dc:creator>
  <cp:lastModifiedBy>Samira</cp:lastModifiedBy>
  <dcterms:created xsi:type="dcterms:W3CDTF">2020-10-17T06:52:17Z</dcterms:created>
  <dcterms:modified xsi:type="dcterms:W3CDTF">2020-10-17T07:06:32Z</dcterms:modified>
</cp:coreProperties>
</file>